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9"/>
  </bookViews>
  <sheets>
    <sheet name="00_Setup" sheetId="1" state="visible" r:id="rId3"/>
    <sheet name="09_Data_GA4" sheetId="2" state="visible" r:id="rId4"/>
    <sheet name="10_Data_GSC" sheetId="3" state="visible" r:id="rId5"/>
    <sheet name="11_Data_Conversions" sheetId="4" state="visible" r:id="rId6"/>
    <sheet name="12_Data_SEO_Tools" sheetId="5" state="visible" r:id="rId7"/>
    <sheet name="13_Data_Technical_Content" sheetId="6" state="visible" r:id="rId8"/>
    <sheet name="14_Data_OnPage" sheetId="7" state="visible" r:id="rId9"/>
    <sheet name="15_Data_Backlinks" sheetId="8" state="visible" r:id="rId10"/>
    <sheet name="08_AI_Input" sheetId="9" state="visible" r:id="rId11"/>
    <sheet name="01_Executive_Dashboard" sheetId="10" state="visible" r:id="rId12"/>
    <sheet name="02_Weekly_Review" sheetId="11" state="visible" r:id="rId13"/>
    <sheet name="03_Monthly_Review" sheetId="12" state="visible" r:id="rId14"/>
    <sheet name="04_Page_Query_Analysis" sheetId="13" state="visible" r:id="rId15"/>
    <sheet name="05_Content_Analysis" sheetId="14" state="visible" r:id="rId16"/>
    <sheet name="06_Technical_Authority" sheetId="15" state="visible" r:id="rId17"/>
    <sheet name="07_Action_Register" sheetId="16" state="visible" r:id="rId18"/>
    <sheet name="16_Read_Me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<sst xmlns="http://schemas.openxmlformats.org/spreadsheetml/2006/main" count="11685" uniqueCount="1013">
  <si>
    <t xml:space="preserve">Reusable SEO Reporting System</t>
  </si>
  <si>
    <t xml:space="preserve">Configure one client/project here. All analysis tabs use these controls.</t>
  </si>
  <si>
    <t xml:space="preserve">PROJECT CONFIGURATION</t>
  </si>
  <si>
    <t xml:space="preserve">Setting</t>
  </si>
  <si>
    <t xml:space="preserve">Value</t>
  </si>
  <si>
    <t xml:space="preserve">Instruction</t>
  </si>
  <si>
    <t xml:space="preserve">Client / Project Name</t>
  </si>
  <si>
    <t xml:space="preserve">Demo Client</t>
  </si>
  <si>
    <t xml:space="preserve">Replace for each project</t>
  </si>
  <si>
    <t xml:space="preserve">Website</t>
  </si>
  <si>
    <t xml:space="preserve">https://example.com/</t>
  </si>
  <si>
    <t xml:space="preserve">Primary property</t>
  </si>
  <si>
    <t xml:space="preserve">Business Model</t>
  </si>
  <si>
    <t xml:space="preserve">Lead Generation</t>
  </si>
  <si>
    <t xml:space="preserve">Lead Generation / Ecommerce / Publisher / Local</t>
  </si>
  <si>
    <t xml:space="preserve">Primary Conversion Label</t>
  </si>
  <si>
    <t xml:space="preserve">Lead</t>
  </si>
  <si>
    <t xml:space="preserve">Lead / Sale / Booking / Enquiry / Admission</t>
  </si>
  <si>
    <t xml:space="preserve">Primary Revenue Label</t>
  </si>
  <si>
    <t xml:space="preserve">Pipeline Value</t>
  </si>
  <si>
    <t xml:space="preserve">Revenue / Pipeline Value / None</t>
  </si>
  <si>
    <t xml:space="preserve">Currency</t>
  </si>
  <si>
    <t xml:space="preserve">₹</t>
  </si>
  <si>
    <t xml:space="preserve">Symbol used in reports</t>
  </si>
  <si>
    <t xml:space="preserve">Reporting Frequency</t>
  </si>
  <si>
    <t xml:space="preserve">Monthly</t>
  </si>
  <si>
    <t xml:space="preserve">Weekly / Monthly / Both</t>
  </si>
  <si>
    <t xml:space="preserve">Current Period Start</t>
  </si>
  <si>
    <t xml:space="preserve">Editable</t>
  </si>
  <si>
    <t xml:space="preserve">Current Period End</t>
  </si>
  <si>
    <t xml:space="preserve">Previous Period Start</t>
  </si>
  <si>
    <t xml:space="preserve">Previous Period End</t>
  </si>
  <si>
    <t xml:space="preserve">YoY Period Start</t>
  </si>
  <si>
    <t xml:space="preserve">Optional</t>
  </si>
  <si>
    <t xml:space="preserve">YoY Period End</t>
  </si>
  <si>
    <t xml:space="preserve">Brand Terms</t>
  </si>
  <si>
    <t xml:space="preserve">demo client|example</t>
  </si>
  <si>
    <t xml:space="preserve">Pipe-separated brand regex/keywords</t>
  </si>
  <si>
    <t xml:space="preserve">Primary Market</t>
  </si>
  <si>
    <t xml:space="preserve">India</t>
  </si>
  <si>
    <t xml:space="preserve">Country/region</t>
  </si>
  <si>
    <t xml:space="preserve">KPI TARGETS</t>
  </si>
  <si>
    <t xml:space="preserve">Metric</t>
  </si>
  <si>
    <t xml:space="preserve">Weekly Target</t>
  </si>
  <si>
    <t xml:space="preserve">Monthly Target</t>
  </si>
  <si>
    <t xml:space="preserve">Quarterly Target</t>
  </si>
  <si>
    <t xml:space="preserve">Direction</t>
  </si>
  <si>
    <t xml:space="preserve">Executive KPI?</t>
  </si>
  <si>
    <t xml:space="preserve">Organic Conversions</t>
  </si>
  <si>
    <t xml:space="preserve">Higher</t>
  </si>
  <si>
    <t xml:space="preserve">Yes</t>
  </si>
  <si>
    <t xml:space="preserve">Qualified Organic Conversions</t>
  </si>
  <si>
    <t xml:space="preserve">Organic Sessions</t>
  </si>
  <si>
    <t xml:space="preserve">Organic Clicks</t>
  </si>
  <si>
    <t xml:space="preserve">Organic Conversion Rate</t>
  </si>
  <si>
    <t xml:space="preserve">0.80%</t>
  </si>
  <si>
    <t xml:space="preserve">0.90%</t>
  </si>
  <si>
    <t xml:space="preserve">1.00%</t>
  </si>
  <si>
    <t xml:space="preserve">Non-brand Click Share</t>
  </si>
  <si>
    <t xml:space="preserve">65%</t>
  </si>
  <si>
    <t xml:space="preserve">70%</t>
  </si>
  <si>
    <t xml:space="preserve">72%</t>
  </si>
  <si>
    <t xml:space="preserve">Weighted Visibility</t>
  </si>
  <si>
    <t xml:space="preserve">18%</t>
  </si>
  <si>
    <t xml:space="preserve">20%</t>
  </si>
  <si>
    <t xml:space="preserve">24%</t>
  </si>
  <si>
    <t xml:space="preserve">Indexation Ratio</t>
  </si>
  <si>
    <t xml:space="preserve">95%</t>
  </si>
  <si>
    <t xml:space="preserve">97%</t>
  </si>
  <si>
    <t xml:space="preserve">98%</t>
  </si>
  <si>
    <t xml:space="preserve">CWV Pass Rate</t>
  </si>
  <si>
    <t xml:space="preserve">85%</t>
  </si>
  <si>
    <t xml:space="preserve">90%</t>
  </si>
  <si>
    <t xml:space="preserve">Critical Issue Rate</t>
  </si>
  <si>
    <t xml:space="preserve">2%</t>
  </si>
  <si>
    <t xml:space="preserve">1%</t>
  </si>
  <si>
    <t xml:space="preserve">0.5%</t>
  </si>
  <si>
    <t xml:space="preserve">Lower</t>
  </si>
  <si>
    <t xml:space="preserve">CONTROL LISTS</t>
  </si>
  <si>
    <t xml:space="preserve">Status</t>
  </si>
  <si>
    <t xml:space="preserve">Priority</t>
  </si>
  <si>
    <t xml:space="preserve">Owner</t>
  </si>
  <si>
    <t xml:space="preserve">Page Type</t>
  </si>
  <si>
    <t xml:space="preserve">Conversion Stage</t>
  </si>
  <si>
    <t xml:space="preserve">On Track</t>
  </si>
  <si>
    <t xml:space="preserve">Critical</t>
  </si>
  <si>
    <t xml:space="preserve">SEO</t>
  </si>
  <si>
    <t xml:space="preserve">Homepage</t>
  </si>
  <si>
    <t xml:space="preserve">New</t>
  </si>
  <si>
    <t xml:space="preserve">Watch</t>
  </si>
  <si>
    <t xml:space="preserve">High</t>
  </si>
  <si>
    <t xml:space="preserve">Content</t>
  </si>
  <si>
    <t xml:space="preserve">Service / Course</t>
  </si>
  <si>
    <t xml:space="preserve">Qualified</t>
  </si>
  <si>
    <t xml:space="preserve">At Risk</t>
  </si>
  <si>
    <t xml:space="preserve">Medium</t>
  </si>
  <si>
    <t xml:space="preserve">Development</t>
  </si>
  <si>
    <t xml:space="preserve">Blog</t>
  </si>
  <si>
    <t xml:space="preserve">Contacted</t>
  </si>
  <si>
    <t xml:space="preserve">Completed</t>
  </si>
  <si>
    <t xml:space="preserve">Low</t>
  </si>
  <si>
    <t xml:space="preserve">Sales / Admissions</t>
  </si>
  <si>
    <t xml:space="preserve">Category</t>
  </si>
  <si>
    <t xml:space="preserve">Application</t>
  </si>
  <si>
    <t xml:space="preserve">In Progress</t>
  </si>
  <si>
    <t xml:space="preserve">Analytics</t>
  </si>
  <si>
    <t xml:space="preserve">Product</t>
  </si>
  <si>
    <t xml:space="preserve">Customer / Admission</t>
  </si>
  <si>
    <t xml:space="preserve">Planned</t>
  </si>
  <si>
    <t xml:space="preserve">Management</t>
  </si>
  <si>
    <t xml:space="preserve">Location</t>
  </si>
  <si>
    <t xml:space="preserve">Lost</t>
  </si>
  <si>
    <t xml:space="preserve">D.  COST &amp; ROI INPUTS  (new — required for Cost per Conversion / Organic ROI)</t>
  </si>
  <si>
    <t xml:space="preserve">Monthly SEO Cost (agency + tools + content)</t>
  </si>
  <si>
    <t xml:space="preserve">USER-SUPPLIED. Drives Cost per Conversion and Organic ROI. Currently absent from the source workbook.</t>
  </si>
  <si>
    <t xml:space="preserve">Benchmark CPC (paid-media equivalent)</t>
  </si>
  <si>
    <t xml:space="preserve">USER-SUPPLIED. Drives Organic Click Value — the paid budget this channel replaced.</t>
  </si>
  <si>
    <t xml:space="preserve">Avg Value per Conversion (fallback)</t>
  </si>
  <si>
    <t xml:space="preserve">Calculated from current-period pipeline / conversions. Used only if a period lacks CRM revenue.</t>
  </si>
  <si>
    <t xml:space="preserve">E.  TARGET CALIBRATION NOTE</t>
  </si>
  <si>
    <t xml:space="preserve">Non-brand Click Share target reset: the original 70% target (row 30) required a ~6x increase in non-brand clicks and is not reachable on current growth rates. Recommended: 34% at 90 days, 45% at 12 months. Row 30 target left unchanged so history is preserved — track against C53:D53 below.</t>
  </si>
  <si>
    <t xml:space="preserve">90-Day Target</t>
  </si>
  <si>
    <t xml:space="preserve">12-Month Target</t>
  </si>
  <si>
    <t xml:space="preserve">Non-brand Click Share (recalibrated)</t>
  </si>
  <si>
    <t xml:space="preserve">F.  ORGANIC CTR BENCHMARK CURVE BY POSITION  (ported from Report A)</t>
  </si>
  <si>
    <t xml:space="preserve">ASSUMPTION: blended desktop+mobile industry curve. Not this site's own data. Replace with a GSC position-vs-CTR export once 3+ months of query-level history exist — every Click Gap / Opportunity Score figure depends on this curve.</t>
  </si>
  <si>
    <t xml:space="preserve">Position</t>
  </si>
  <si>
    <t xml:space="preserve">Benchmark CTR</t>
  </si>
  <si>
    <t xml:space="preserve">Position &gt; 20 (floor)</t>
  </si>
  <si>
    <t xml:space="preserve">G.  OPPORTUNITY SCORE WEIGHTING  (ported from Report A)</t>
  </si>
  <si>
    <t xml:space="preserve">Weights positions 4-10 highest — the cheapest wins (page 1, not yet top 3).</t>
  </si>
  <si>
    <t xml:space="preserve">Position Band</t>
  </si>
  <si>
    <t xml:space="preserve">Weight</t>
  </si>
  <si>
    <t xml:space="preserve">Position 1-3</t>
  </si>
  <si>
    <t xml:space="preserve">Position 4-10</t>
  </si>
  <si>
    <t xml:space="preserve">Position 11-20</t>
  </si>
  <si>
    <t xml:space="preserve">Position &gt; 20</t>
  </si>
  <si>
    <t xml:space="preserve">H.  ANOMALY DETECTION THRESHOLDS  (ported from Report A)</t>
  </si>
  <si>
    <t xml:space="preserve">Threshold</t>
  </si>
  <si>
    <t xml:space="preserve">Anomaly when deviation vs trailing avg &gt;=</t>
  </si>
  <si>
    <t xml:space="preserve">Watch when deviation vs trailing avg &gt;=</t>
  </si>
  <si>
    <t xml:space="preserve">Stale content age (days)</t>
  </si>
  <si>
    <t xml:space="preserve">Content decay when session change &lt;=</t>
  </si>
  <si>
    <t xml:space="preserve">Min sessions for CRO/decay flag</t>
  </si>
  <si>
    <t xml:space="preserve">GA4 Data Input</t>
  </si>
  <si>
    <t xml:space="preserve">One row per date + landing page + source/medium + device + market.</t>
  </si>
  <si>
    <t xml:space="preserve">Date</t>
  </si>
  <si>
    <t xml:space="preserve">Landing Page</t>
  </si>
  <si>
    <t xml:space="preserve">Source</t>
  </si>
  <si>
    <t xml:space="preserve">Device</t>
  </si>
  <si>
    <t xml:space="preserve">Country</t>
  </si>
  <si>
    <t xml:space="preserve">Users</t>
  </si>
  <si>
    <t xml:space="preserve">Sessions</t>
  </si>
  <si>
    <t xml:space="preserve">Engaged Sessions</t>
  </si>
  <si>
    <t xml:space="preserve">Avg Engagement Sec</t>
  </si>
  <si>
    <t xml:space="preserve">Primary Conversions</t>
  </si>
  <si>
    <t xml:space="preserve">Revenue</t>
  </si>
  <si>
    <t xml:space="preserve">/service-a/</t>
  </si>
  <si>
    <t xml:space="preserve">google</t>
  </si>
  <si>
    <t xml:space="preserve">organic</t>
  </si>
  <si>
    <t xml:space="preserve">Mobile</t>
  </si>
  <si>
    <t xml:space="preserve">/service-b/</t>
  </si>
  <si>
    <t xml:space="preserve">/blog/topic-a/</t>
  </si>
  <si>
    <t xml:space="preserve">/blog/topic-b/</t>
  </si>
  <si>
    <t xml:space="preserve">/</t>
  </si>
  <si>
    <t xml:space="preserve">Desktop</t>
  </si>
  <si>
    <t xml:space="preserve">/contact/</t>
  </si>
  <si>
    <t xml:space="preserve">Other</t>
  </si>
  <si>
    <t xml:space="preserve">Google Search Console Data Input</t>
  </si>
  <si>
    <t xml:space="preserve">One row per date + query + landing page + device + country.</t>
  </si>
  <si>
    <t xml:space="preserve">Query</t>
  </si>
  <si>
    <t xml:space="preserve">Clicks</t>
  </si>
  <si>
    <t xml:space="preserve">Impressions</t>
  </si>
  <si>
    <t xml:space="preserve">CTR</t>
  </si>
  <si>
    <t xml:space="preserve">Brand / Non-brand</t>
  </si>
  <si>
    <t xml:space="preserve">Intent</t>
  </si>
  <si>
    <t xml:space="preserve">Topic Cluster</t>
  </si>
  <si>
    <t xml:space="preserve">demo client</t>
  </si>
  <si>
    <t xml:space="preserve">Brand</t>
  </si>
  <si>
    <t xml:space="preserve">Navigational</t>
  </si>
  <si>
    <t xml:space="preserve">service a provider</t>
  </si>
  <si>
    <t xml:space="preserve">Non-brand</t>
  </si>
  <si>
    <t xml:space="preserve">Commercial</t>
  </si>
  <si>
    <t xml:space="preserve">Service A</t>
  </si>
  <si>
    <t xml:space="preserve">best service b</t>
  </si>
  <si>
    <t xml:space="preserve">Service B</t>
  </si>
  <si>
    <t xml:space="preserve">topic a guide</t>
  </si>
  <si>
    <t xml:space="preserve">Informational</t>
  </si>
  <si>
    <t xml:space="preserve">Topic A</t>
  </si>
  <si>
    <t xml:space="preserve">topic b checklist</t>
  </si>
  <si>
    <t xml:space="preserve">Topic B</t>
  </si>
  <si>
    <t xml:space="preserve">contact demo client</t>
  </si>
  <si>
    <t xml:space="preserve">Transactional</t>
  </si>
  <si>
    <t xml:space="preserve">Conversion / CRM Data Input</t>
  </si>
  <si>
    <t xml:space="preserve">One row per lead, sale, booking or admission. Use this for quality and outcome reporting.</t>
  </si>
  <si>
    <t xml:space="preserve">Conversion ID</t>
  </si>
  <si>
    <t xml:space="preserve">Conversion Date</t>
  </si>
  <si>
    <t xml:space="preserve">Campaign</t>
  </si>
  <si>
    <t xml:space="preserve">Conversion Type</t>
  </si>
  <si>
    <t xml:space="preserve">Product / Service</t>
  </si>
  <si>
    <t xml:space="preserve">Stage</t>
  </si>
  <si>
    <t xml:space="preserve">Qualified?</t>
  </si>
  <si>
    <t xml:space="preserve">Customer?</t>
  </si>
  <si>
    <t xml:space="preserve">Revenue / Pipeline Value</t>
  </si>
  <si>
    <t xml:space="preserve">C00001</t>
  </si>
  <si>
    <t xml:space="preserve">No</t>
  </si>
  <si>
    <t xml:space="preserve">SEO Team</t>
  </si>
  <si>
    <t xml:space="preserve">C00002</t>
  </si>
  <si>
    <t xml:space="preserve">Blog/Topic B</t>
  </si>
  <si>
    <t xml:space="preserve">Sales Team</t>
  </si>
  <si>
    <t xml:space="preserve">C00003</t>
  </si>
  <si>
    <t xml:space="preserve">Blog/Topic A</t>
  </si>
  <si>
    <t xml:space="preserve">C00004</t>
  </si>
  <si>
    <t xml:space="preserve">C00005</t>
  </si>
  <si>
    <t xml:space="preserve">C00006</t>
  </si>
  <si>
    <t xml:space="preserve">C00007</t>
  </si>
  <si>
    <t xml:space="preserve">C00008</t>
  </si>
  <si>
    <t xml:space="preserve">C00009</t>
  </si>
  <si>
    <t xml:space="preserve">C00010</t>
  </si>
  <si>
    <t xml:space="preserve">C00011</t>
  </si>
  <si>
    <t xml:space="preserve">C00012</t>
  </si>
  <si>
    <t xml:space="preserve">C00013</t>
  </si>
  <si>
    <t xml:space="preserve">C00014</t>
  </si>
  <si>
    <t xml:space="preserve">C00015</t>
  </si>
  <si>
    <t xml:space="preserve">C00016</t>
  </si>
  <si>
    <t xml:space="preserve">C00017</t>
  </si>
  <si>
    <t xml:space="preserve">C00018</t>
  </si>
  <si>
    <t xml:space="preserve">C00019</t>
  </si>
  <si>
    <t xml:space="preserve">C00020</t>
  </si>
  <si>
    <t xml:space="preserve">C00021</t>
  </si>
  <si>
    <t xml:space="preserve">C00022</t>
  </si>
  <si>
    <t xml:space="preserve">C00023</t>
  </si>
  <si>
    <t xml:space="preserve">C00024</t>
  </si>
  <si>
    <t xml:space="preserve">C00025</t>
  </si>
  <si>
    <t xml:space="preserve">C00026</t>
  </si>
  <si>
    <t xml:space="preserve">C00027</t>
  </si>
  <si>
    <t xml:space="preserve">C00028</t>
  </si>
  <si>
    <t xml:space="preserve">C00029</t>
  </si>
  <si>
    <t xml:space="preserve">C00030</t>
  </si>
  <si>
    <t xml:space="preserve">C00031</t>
  </si>
  <si>
    <t xml:space="preserve">C00032</t>
  </si>
  <si>
    <t xml:space="preserve">C00033</t>
  </si>
  <si>
    <t xml:space="preserve">C00034</t>
  </si>
  <si>
    <t xml:space="preserve">C00035</t>
  </si>
  <si>
    <t xml:space="preserve">C00036</t>
  </si>
  <si>
    <t xml:space="preserve">C00037</t>
  </si>
  <si>
    <t xml:space="preserve">C00038</t>
  </si>
  <si>
    <t xml:space="preserve">C00039</t>
  </si>
  <si>
    <t xml:space="preserve">C00040</t>
  </si>
  <si>
    <t xml:space="preserve">C00041</t>
  </si>
  <si>
    <t xml:space="preserve">C00042</t>
  </si>
  <si>
    <t xml:space="preserve">C00043</t>
  </si>
  <si>
    <t xml:space="preserve">C00044</t>
  </si>
  <si>
    <t xml:space="preserve">C00045</t>
  </si>
  <si>
    <t xml:space="preserve">C00046</t>
  </si>
  <si>
    <t xml:space="preserve">C00047</t>
  </si>
  <si>
    <t xml:space="preserve">C00048</t>
  </si>
  <si>
    <t xml:space="preserve">C00049</t>
  </si>
  <si>
    <t xml:space="preserve">C00050</t>
  </si>
  <si>
    <t xml:space="preserve">C00051</t>
  </si>
  <si>
    <t xml:space="preserve">C00052</t>
  </si>
  <si>
    <t xml:space="preserve">C00053</t>
  </si>
  <si>
    <t xml:space="preserve">C00054</t>
  </si>
  <si>
    <t xml:space="preserve">C00055</t>
  </si>
  <si>
    <t xml:space="preserve">C00056</t>
  </si>
  <si>
    <t xml:space="preserve">C00057</t>
  </si>
  <si>
    <t xml:space="preserve">C00058</t>
  </si>
  <si>
    <t xml:space="preserve">C00059</t>
  </si>
  <si>
    <t xml:space="preserve">C00060</t>
  </si>
  <si>
    <t xml:space="preserve">C00061</t>
  </si>
  <si>
    <t xml:space="preserve">C00062</t>
  </si>
  <si>
    <t xml:space="preserve">C00063</t>
  </si>
  <si>
    <t xml:space="preserve">C00064</t>
  </si>
  <si>
    <t xml:space="preserve">C00065</t>
  </si>
  <si>
    <t xml:space="preserve">C00066</t>
  </si>
  <si>
    <t xml:space="preserve">C00067</t>
  </si>
  <si>
    <t xml:space="preserve">C00068</t>
  </si>
  <si>
    <t xml:space="preserve">C00069</t>
  </si>
  <si>
    <t xml:space="preserve">C00070</t>
  </si>
  <si>
    <t xml:space="preserve">C00071</t>
  </si>
  <si>
    <t xml:space="preserve">C00072</t>
  </si>
  <si>
    <t xml:space="preserve">C00073</t>
  </si>
  <si>
    <t xml:space="preserve">C00074</t>
  </si>
  <si>
    <t xml:space="preserve">C00075</t>
  </si>
  <si>
    <t xml:space="preserve">C00076</t>
  </si>
  <si>
    <t xml:space="preserve">C00077</t>
  </si>
  <si>
    <t xml:space="preserve">C00078</t>
  </si>
  <si>
    <t xml:space="preserve">C00079</t>
  </si>
  <si>
    <t xml:space="preserve">C00080</t>
  </si>
  <si>
    <t xml:space="preserve">C00081</t>
  </si>
  <si>
    <t xml:space="preserve">C00082</t>
  </si>
  <si>
    <t xml:space="preserve">C00083</t>
  </si>
  <si>
    <t xml:space="preserve">C00084</t>
  </si>
  <si>
    <t xml:space="preserve">C00085</t>
  </si>
  <si>
    <t xml:space="preserve">C00086</t>
  </si>
  <si>
    <t xml:space="preserve">C00087</t>
  </si>
  <si>
    <t xml:space="preserve">C00088</t>
  </si>
  <si>
    <t xml:space="preserve">C00089</t>
  </si>
  <si>
    <t xml:space="preserve">C00090</t>
  </si>
  <si>
    <t xml:space="preserve">C00091</t>
  </si>
  <si>
    <t xml:space="preserve">C00092</t>
  </si>
  <si>
    <t xml:space="preserve">C00093</t>
  </si>
  <si>
    <t xml:space="preserve">C00094</t>
  </si>
  <si>
    <t xml:space="preserve">C00095</t>
  </si>
  <si>
    <t xml:space="preserve">C00096</t>
  </si>
  <si>
    <t xml:space="preserve">C00097</t>
  </si>
  <si>
    <t xml:space="preserve">C00098</t>
  </si>
  <si>
    <t xml:space="preserve">C00099</t>
  </si>
  <si>
    <t xml:space="preserve">C00100</t>
  </si>
  <si>
    <t xml:space="preserve">C00101</t>
  </si>
  <si>
    <t xml:space="preserve">C00102</t>
  </si>
  <si>
    <t xml:space="preserve">C00103</t>
  </si>
  <si>
    <t xml:space="preserve">C00104</t>
  </si>
  <si>
    <t xml:space="preserve">C00105</t>
  </si>
  <si>
    <t xml:space="preserve">C00106</t>
  </si>
  <si>
    <t xml:space="preserve">C00107</t>
  </si>
  <si>
    <t xml:space="preserve">C00108</t>
  </si>
  <si>
    <t xml:space="preserve">C00109</t>
  </si>
  <si>
    <t xml:space="preserve">C00110</t>
  </si>
  <si>
    <t xml:space="preserve">C00111</t>
  </si>
  <si>
    <t xml:space="preserve">C00112</t>
  </si>
  <si>
    <t xml:space="preserve">C00113</t>
  </si>
  <si>
    <t xml:space="preserve">C00114</t>
  </si>
  <si>
    <t xml:space="preserve">C00115</t>
  </si>
  <si>
    <t xml:space="preserve">C00116</t>
  </si>
  <si>
    <t xml:space="preserve">C00117</t>
  </si>
  <si>
    <t xml:space="preserve">C00118</t>
  </si>
  <si>
    <t xml:space="preserve">C00119</t>
  </si>
  <si>
    <t xml:space="preserve">C00120</t>
  </si>
  <si>
    <t xml:space="preserve">C00121</t>
  </si>
  <si>
    <t xml:space="preserve">C00122</t>
  </si>
  <si>
    <t xml:space="preserve">C00123</t>
  </si>
  <si>
    <t xml:space="preserve">C00124</t>
  </si>
  <si>
    <t xml:space="preserve">C00125</t>
  </si>
  <si>
    <t xml:space="preserve">C00126</t>
  </si>
  <si>
    <t xml:space="preserve">C00127</t>
  </si>
  <si>
    <t xml:space="preserve">C00128</t>
  </si>
  <si>
    <t xml:space="preserve">C00129</t>
  </si>
  <si>
    <t xml:space="preserve">C00130</t>
  </si>
  <si>
    <t xml:space="preserve">C00131</t>
  </si>
  <si>
    <t xml:space="preserve">C00132</t>
  </si>
  <si>
    <t xml:space="preserve">C00133</t>
  </si>
  <si>
    <t xml:space="preserve">C00134</t>
  </si>
  <si>
    <t xml:space="preserve">C00135</t>
  </si>
  <si>
    <t xml:space="preserve">C00136</t>
  </si>
  <si>
    <t xml:space="preserve">C00137</t>
  </si>
  <si>
    <t xml:space="preserve">C00138</t>
  </si>
  <si>
    <t xml:space="preserve">C00139</t>
  </si>
  <si>
    <t xml:space="preserve">C00140</t>
  </si>
  <si>
    <t xml:space="preserve">C00141</t>
  </si>
  <si>
    <t xml:space="preserve">C00142</t>
  </si>
  <si>
    <t xml:space="preserve">C00143</t>
  </si>
  <si>
    <t xml:space="preserve">C00144</t>
  </si>
  <si>
    <t xml:space="preserve">C00145</t>
  </si>
  <si>
    <t xml:space="preserve">C00146</t>
  </si>
  <si>
    <t xml:space="preserve">C00147</t>
  </si>
  <si>
    <t xml:space="preserve">C00148</t>
  </si>
  <si>
    <t xml:space="preserve">C00149</t>
  </si>
  <si>
    <t xml:space="preserve">C00150</t>
  </si>
  <si>
    <t xml:space="preserve">C00151</t>
  </si>
  <si>
    <t xml:space="preserve">C00152</t>
  </si>
  <si>
    <t xml:space="preserve">C00153</t>
  </si>
  <si>
    <t xml:space="preserve">C00154</t>
  </si>
  <si>
    <t xml:space="preserve">C00155</t>
  </si>
  <si>
    <t xml:space="preserve">C00156</t>
  </si>
  <si>
    <t xml:space="preserve">C00157</t>
  </si>
  <si>
    <t xml:space="preserve">C00158</t>
  </si>
  <si>
    <t xml:space="preserve">C00159</t>
  </si>
  <si>
    <t xml:space="preserve">C00160</t>
  </si>
  <si>
    <t xml:space="preserve">C00161</t>
  </si>
  <si>
    <t xml:space="preserve">C00162</t>
  </si>
  <si>
    <t xml:space="preserve">C00163</t>
  </si>
  <si>
    <t xml:space="preserve">C00164</t>
  </si>
  <si>
    <t xml:space="preserve">C00165</t>
  </si>
  <si>
    <t xml:space="preserve">C00166</t>
  </si>
  <si>
    <t xml:space="preserve">C00167</t>
  </si>
  <si>
    <t xml:space="preserve">C00168</t>
  </si>
  <si>
    <t xml:space="preserve">C00169</t>
  </si>
  <si>
    <t xml:space="preserve">C00170</t>
  </si>
  <si>
    <t xml:space="preserve">C00171</t>
  </si>
  <si>
    <t xml:space="preserve">C00172</t>
  </si>
  <si>
    <t xml:space="preserve">C00173</t>
  </si>
  <si>
    <t xml:space="preserve">C00174</t>
  </si>
  <si>
    <t xml:space="preserve">C00175</t>
  </si>
  <si>
    <t xml:space="preserve">C00176</t>
  </si>
  <si>
    <t xml:space="preserve">C00177</t>
  </si>
  <si>
    <t xml:space="preserve">C00178</t>
  </si>
  <si>
    <t xml:space="preserve">C00179</t>
  </si>
  <si>
    <t xml:space="preserve">C00180</t>
  </si>
  <si>
    <t xml:space="preserve">C00181</t>
  </si>
  <si>
    <t xml:space="preserve">C00182</t>
  </si>
  <si>
    <t xml:space="preserve">C00183</t>
  </si>
  <si>
    <t xml:space="preserve">C00184</t>
  </si>
  <si>
    <t xml:space="preserve">C00185</t>
  </si>
  <si>
    <t xml:space="preserve">C00186</t>
  </si>
  <si>
    <t xml:space="preserve">C00187</t>
  </si>
  <si>
    <t xml:space="preserve">C00188</t>
  </si>
  <si>
    <t xml:space="preserve">C00189</t>
  </si>
  <si>
    <t xml:space="preserve">C00190</t>
  </si>
  <si>
    <t xml:space="preserve">C00191</t>
  </si>
  <si>
    <t xml:space="preserve">C00192</t>
  </si>
  <si>
    <t xml:space="preserve">C00193</t>
  </si>
  <si>
    <t xml:space="preserve">C00194</t>
  </si>
  <si>
    <t xml:space="preserve">C00195</t>
  </si>
  <si>
    <t xml:space="preserve">C00196</t>
  </si>
  <si>
    <t xml:space="preserve">C00197</t>
  </si>
  <si>
    <t xml:space="preserve">C00198</t>
  </si>
  <si>
    <t xml:space="preserve">C00199</t>
  </si>
  <si>
    <t xml:space="preserve">C00200</t>
  </si>
  <si>
    <t xml:space="preserve">C00201</t>
  </si>
  <si>
    <t xml:space="preserve">C00202</t>
  </si>
  <si>
    <t xml:space="preserve">C00203</t>
  </si>
  <si>
    <t xml:space="preserve">C00204</t>
  </si>
  <si>
    <t xml:space="preserve">C00205</t>
  </si>
  <si>
    <t xml:space="preserve">C00206</t>
  </si>
  <si>
    <t xml:space="preserve">C00207</t>
  </si>
  <si>
    <t xml:space="preserve">C00208</t>
  </si>
  <si>
    <t xml:space="preserve">C00209</t>
  </si>
  <si>
    <t xml:space="preserve">C00210</t>
  </si>
  <si>
    <t xml:space="preserve">C00211</t>
  </si>
  <si>
    <t xml:space="preserve">C00212</t>
  </si>
  <si>
    <t xml:space="preserve">C00213</t>
  </si>
  <si>
    <t xml:space="preserve">C00214</t>
  </si>
  <si>
    <t xml:space="preserve">C00215</t>
  </si>
  <si>
    <t xml:space="preserve">C00216</t>
  </si>
  <si>
    <t xml:space="preserve">C00217</t>
  </si>
  <si>
    <t xml:space="preserve">C00218</t>
  </si>
  <si>
    <t xml:space="preserve">C00219</t>
  </si>
  <si>
    <t xml:space="preserve">C00220</t>
  </si>
  <si>
    <t xml:space="preserve">C00221</t>
  </si>
  <si>
    <t xml:space="preserve">C00222</t>
  </si>
  <si>
    <t xml:space="preserve">C00223</t>
  </si>
  <si>
    <t xml:space="preserve">C00224</t>
  </si>
  <si>
    <t xml:space="preserve">C00225</t>
  </si>
  <si>
    <t xml:space="preserve">C00226</t>
  </si>
  <si>
    <t xml:space="preserve">C00227</t>
  </si>
  <si>
    <t xml:space="preserve">C00228</t>
  </si>
  <si>
    <t xml:space="preserve">C00229</t>
  </si>
  <si>
    <t xml:space="preserve">C00230</t>
  </si>
  <si>
    <t xml:space="preserve">C00231</t>
  </si>
  <si>
    <t xml:space="preserve">C00232</t>
  </si>
  <si>
    <t xml:space="preserve">C00233</t>
  </si>
  <si>
    <t xml:space="preserve">C00234</t>
  </si>
  <si>
    <t xml:space="preserve">C00235</t>
  </si>
  <si>
    <t xml:space="preserve">C00236</t>
  </si>
  <si>
    <t xml:space="preserve">C00237</t>
  </si>
  <si>
    <t xml:space="preserve">C00238</t>
  </si>
  <si>
    <t xml:space="preserve">C00239</t>
  </si>
  <si>
    <t xml:space="preserve">C00240</t>
  </si>
  <si>
    <t xml:space="preserve">C00241</t>
  </si>
  <si>
    <t xml:space="preserve">C00242</t>
  </si>
  <si>
    <t xml:space="preserve">C00243</t>
  </si>
  <si>
    <t xml:space="preserve">C00244</t>
  </si>
  <si>
    <t xml:space="preserve">C00245</t>
  </si>
  <si>
    <t xml:space="preserve">C00246</t>
  </si>
  <si>
    <t xml:space="preserve">C00247</t>
  </si>
  <si>
    <t xml:space="preserve">C00248</t>
  </si>
  <si>
    <t xml:space="preserve">C00249</t>
  </si>
  <si>
    <t xml:space="preserve">C00250</t>
  </si>
  <si>
    <t xml:space="preserve">C00251</t>
  </si>
  <si>
    <t xml:space="preserve">C00252</t>
  </si>
  <si>
    <t xml:space="preserve">C00253</t>
  </si>
  <si>
    <t xml:space="preserve">C00254</t>
  </si>
  <si>
    <t xml:space="preserve">C00255</t>
  </si>
  <si>
    <t xml:space="preserve">C00256</t>
  </si>
  <si>
    <t xml:space="preserve">C00257</t>
  </si>
  <si>
    <t xml:space="preserve">C00258</t>
  </si>
  <si>
    <t xml:space="preserve">C00259</t>
  </si>
  <si>
    <t xml:space="preserve">C00260</t>
  </si>
  <si>
    <t xml:space="preserve">C00261</t>
  </si>
  <si>
    <t xml:space="preserve">C00262</t>
  </si>
  <si>
    <t xml:space="preserve">C00263</t>
  </si>
  <si>
    <t xml:space="preserve">C00264</t>
  </si>
  <si>
    <t xml:space="preserve">C00265</t>
  </si>
  <si>
    <t xml:space="preserve">C00266</t>
  </si>
  <si>
    <t xml:space="preserve">C00267</t>
  </si>
  <si>
    <t xml:space="preserve">C00268</t>
  </si>
  <si>
    <t xml:space="preserve">C00269</t>
  </si>
  <si>
    <t xml:space="preserve">C00270</t>
  </si>
  <si>
    <t xml:space="preserve">C00271</t>
  </si>
  <si>
    <t xml:space="preserve">C00272</t>
  </si>
  <si>
    <t xml:space="preserve">C00273</t>
  </si>
  <si>
    <t xml:space="preserve">C00274</t>
  </si>
  <si>
    <t xml:space="preserve">C00275</t>
  </si>
  <si>
    <t xml:space="preserve">C00276</t>
  </si>
  <si>
    <t xml:space="preserve">C00277</t>
  </si>
  <si>
    <t xml:space="preserve">C00278</t>
  </si>
  <si>
    <t xml:space="preserve">C00279</t>
  </si>
  <si>
    <t xml:space="preserve">C00280</t>
  </si>
  <si>
    <t xml:space="preserve">C00281</t>
  </si>
  <si>
    <t xml:space="preserve">C00282</t>
  </si>
  <si>
    <t xml:space="preserve">C00283</t>
  </si>
  <si>
    <t xml:space="preserve">C00284</t>
  </si>
  <si>
    <t xml:space="preserve">C00285</t>
  </si>
  <si>
    <t xml:space="preserve">C00286</t>
  </si>
  <si>
    <t xml:space="preserve">C00287</t>
  </si>
  <si>
    <t xml:space="preserve">C00288</t>
  </si>
  <si>
    <t xml:space="preserve">C00289</t>
  </si>
  <si>
    <t xml:space="preserve">C00290</t>
  </si>
  <si>
    <t xml:space="preserve">C00291</t>
  </si>
  <si>
    <t xml:space="preserve">C00292</t>
  </si>
  <si>
    <t xml:space="preserve">C00293</t>
  </si>
  <si>
    <t xml:space="preserve">C00294</t>
  </si>
  <si>
    <t xml:space="preserve">C00295</t>
  </si>
  <si>
    <t xml:space="preserve">C00296</t>
  </si>
  <si>
    <t xml:space="preserve">C00297</t>
  </si>
  <si>
    <t xml:space="preserve">C00298</t>
  </si>
  <si>
    <t xml:space="preserve">C00299</t>
  </si>
  <si>
    <t xml:space="preserve">C00300</t>
  </si>
  <si>
    <t xml:space="preserve">C00301</t>
  </si>
  <si>
    <t xml:space="preserve">C00302</t>
  </si>
  <si>
    <t xml:space="preserve">C00303</t>
  </si>
  <si>
    <t xml:space="preserve">C00304</t>
  </si>
  <si>
    <t xml:space="preserve">C00305</t>
  </si>
  <si>
    <t xml:space="preserve">C00306</t>
  </si>
  <si>
    <t xml:space="preserve">C00307</t>
  </si>
  <si>
    <t xml:space="preserve">C00308</t>
  </si>
  <si>
    <t xml:space="preserve">C00309</t>
  </si>
  <si>
    <t xml:space="preserve">C00310</t>
  </si>
  <si>
    <t xml:space="preserve">C00311</t>
  </si>
  <si>
    <t xml:space="preserve">C00312</t>
  </si>
  <si>
    <t xml:space="preserve">C00313</t>
  </si>
  <si>
    <t xml:space="preserve">C00314</t>
  </si>
  <si>
    <t xml:space="preserve">C00315</t>
  </si>
  <si>
    <t xml:space="preserve">C00316</t>
  </si>
  <si>
    <t xml:space="preserve">C00317</t>
  </si>
  <si>
    <t xml:space="preserve">C00318</t>
  </si>
  <si>
    <t xml:space="preserve">C00319</t>
  </si>
  <si>
    <t xml:space="preserve">C00320</t>
  </si>
  <si>
    <t xml:space="preserve">C00321</t>
  </si>
  <si>
    <t xml:space="preserve">C00322</t>
  </si>
  <si>
    <t xml:space="preserve">C00323</t>
  </si>
  <si>
    <t xml:space="preserve">C00324</t>
  </si>
  <si>
    <t xml:space="preserve">C00325</t>
  </si>
  <si>
    <t xml:space="preserve">C00326</t>
  </si>
  <si>
    <t xml:space="preserve">C00327</t>
  </si>
  <si>
    <t xml:space="preserve">C00328</t>
  </si>
  <si>
    <t xml:space="preserve">C00329</t>
  </si>
  <si>
    <t xml:space="preserve">C00330</t>
  </si>
  <si>
    <t xml:space="preserve">SEO Tool Data Input</t>
  </si>
  <si>
    <t xml:space="preserve">Keyword, visibility, competitor and backlink records from Semrush, Ahrefs or similar.</t>
  </si>
  <si>
    <t xml:space="preserve">Record Type</t>
  </si>
  <si>
    <t xml:space="preserve">Keyword / Domain</t>
  </si>
  <si>
    <t xml:space="preserve">Current Position</t>
  </si>
  <si>
    <t xml:space="preserve">Previous Position</t>
  </si>
  <si>
    <t xml:space="preserve">Search Volume</t>
  </si>
  <si>
    <t xml:space="preserve">Keyword Difficulty</t>
  </si>
  <si>
    <t xml:space="preserve">Visibility</t>
  </si>
  <si>
    <t xml:space="preserve">Referring Domains</t>
  </si>
  <si>
    <t xml:space="preserve">New Domains</t>
  </si>
  <si>
    <t xml:space="preserve">Lost Domains</t>
  </si>
  <si>
    <t xml:space="preserve">Competitor?</t>
  </si>
  <si>
    <t xml:space="preserve">Keyword</t>
  </si>
  <si>
    <t xml:space="preserve">Domain</t>
  </si>
  <si>
    <t xml:space="preserve">demo-client.com</t>
  </si>
  <si>
    <t xml:space="preserve">All</t>
  </si>
  <si>
    <t xml:space="preserve">competitor-a.com</t>
  </si>
  <si>
    <t xml:space="preserve">competitor-b.com</t>
  </si>
  <si>
    <t xml:space="preserve">Technical &amp; Content Data Input</t>
  </si>
  <si>
    <t xml:space="preserve">Crawl health, indexation, CWV, content inventory and action tracking.</t>
  </si>
  <si>
    <t xml:space="preserve">Snapshot Date</t>
  </si>
  <si>
    <t xml:space="preserve">URL / Item</t>
  </si>
  <si>
    <t xml:space="preserve">Status / Issue</t>
  </si>
  <si>
    <t xml:space="preserve">Severity</t>
  </si>
  <si>
    <t xml:space="preserve">Metric Name</t>
  </si>
  <si>
    <t xml:space="preserve">Metric Value</t>
  </si>
  <si>
    <t xml:space="preserve">Opened / Published</t>
  </si>
  <si>
    <t xml:space="preserve">Due / Updated</t>
  </si>
  <si>
    <t xml:space="preserve">Notes</t>
  </si>
  <si>
    <t xml:space="preserve">Technical</t>
  </si>
  <si>
    <t xml:space="preserve">Sitewide</t>
  </si>
  <si>
    <t xml:space="preserve">Indexed Canonical URLs</t>
  </si>
  <si>
    <t xml:space="preserve">Indexed URLs</t>
  </si>
  <si>
    <t xml:space="preserve">Indexable Canonical URLs</t>
  </si>
  <si>
    <t xml:space="preserve">Indexable URLs</t>
  </si>
  <si>
    <t xml:space="preserve">Good CWV URLs</t>
  </si>
  <si>
    <t xml:space="preserve">CWV Good URLs</t>
  </si>
  <si>
    <t xml:space="preserve">Evaluated CWV URLs</t>
  </si>
  <si>
    <t xml:space="preserve">CWV Evaluated URLs</t>
  </si>
  <si>
    <t xml:space="preserve">Critical URLs</t>
  </si>
  <si>
    <t xml:space="preserve">Critical Issue URLs</t>
  </si>
  <si>
    <t xml:space="preserve">Crawled URLs</t>
  </si>
  <si>
    <t xml:space="preserve">Issue</t>
  </si>
  <si>
    <t xml:space="preserve">Mobile LCP &gt;2.5s</t>
  </si>
  <si>
    <t xml:space="preserve">Open</t>
  </si>
  <si>
    <t xml:space="preserve">23 URLs</t>
  </si>
  <si>
    <t xml:space="preserve">Multiple</t>
  </si>
  <si>
    <t xml:space="preserve">Duplicate meta descriptions</t>
  </si>
  <si>
    <t xml:space="preserve">Published</t>
  </si>
  <si>
    <t xml:space="preserve">Strong assisted conversion</t>
  </si>
  <si>
    <t xml:space="preserve">Rank Watch</t>
  </si>
  <si>
    <t xml:space="preserve">CORRECTED (was: "Traffic down &gt;20%"): sessions actually +6.3% MoM (confirmed by the formula-driven Decay Flag in 05_Content_Analysis, which reads Healthy). The real signal is the tracked query slipping position 10-&gt;12 within the month -- traffic is still rising on momentum but rank decay typically precedes traffic decay. Refresh for rank defence, not traffic recovery.</t>
  </si>
  <si>
    <t xml:space="preserve">Action</t>
  </si>
  <si>
    <t xml:space="preserve">CTR optimization sprint</t>
  </si>
  <si>
    <t xml:space="preserve">15 opportunity queries</t>
  </si>
  <si>
    <t xml:space="preserve">Fix mobile LCP</t>
  </si>
  <si>
    <t xml:space="preserve">Service template</t>
  </si>
  <si>
    <t xml:space="preserve">On-Page &amp; Crawl Data Input</t>
  </si>
  <si>
    <t xml:space="preserve">One row per URL per crawl date. SAMPLE DATA — replace with a Screaming Frog / Sitebulb export. This tab did not exist in the source workbook; its absence blocked all on-page and architecture analysis.</t>
  </si>
  <si>
    <t xml:space="preserve">Crawl Date</t>
  </si>
  <si>
    <t xml:space="preserve">URL</t>
  </si>
  <si>
    <t xml:space="preserve">Status Code</t>
  </si>
  <si>
    <t xml:space="preserve">Canonical Target</t>
  </si>
  <si>
    <t xml:space="preserve">Indexable?</t>
  </si>
  <si>
    <t xml:space="preserve">Title</t>
  </si>
  <si>
    <t xml:space="preserve">Title Length</t>
  </si>
  <si>
    <t xml:space="preserve">Meta Description</t>
  </si>
  <si>
    <t xml:space="preserve">Meta Length</t>
  </si>
  <si>
    <t xml:space="preserve">H1</t>
  </si>
  <si>
    <t xml:space="preserve">H1 Count</t>
  </si>
  <si>
    <t xml:space="preserve">Word Count</t>
  </si>
  <si>
    <t xml:space="preserve">Internal Links In</t>
  </si>
  <si>
    <t xml:space="preserve">Internal Links Out</t>
  </si>
  <si>
    <t xml:space="preserve">Images Missing Alt</t>
  </si>
  <si>
    <t xml:space="preserve">Schema Types</t>
  </si>
  <si>
    <t xml:space="preserve">Depth From Home</t>
  </si>
  <si>
    <t xml:space="preserve">2026-06-30</t>
  </si>
  <si>
    <t xml:space="preserve">(self)</t>
  </si>
  <si>
    <t xml:space="preserve">Demo Client | Lead Generation Services in India</t>
  </si>
  <si>
    <t xml:space="preserve">Missing — flagged duplicate-meta issue</t>
  </si>
  <si>
    <t xml:space="preserve">Demo Client — Lead Generation Services</t>
  </si>
  <si>
    <t xml:space="preserve">Organization</t>
  </si>
  <si>
    <t xml:space="preserve">Service A Provider | Demo Client</t>
  </si>
  <si>
    <t xml:space="preserve">Get Service A from Demo Client. Book a free consultation today.</t>
  </si>
  <si>
    <t xml:space="preserve">Service</t>
  </si>
  <si>
    <t xml:space="preserve">Best Service B | Demo Client</t>
  </si>
  <si>
    <t xml:space="preserve">Topic A Guide: Everything You Need to Know</t>
  </si>
  <si>
    <t xml:space="preserve">A complete guide to Topic A, covering causes, options and next steps.</t>
  </si>
  <si>
    <t xml:space="preserve">Topic A Guide</t>
  </si>
  <si>
    <t xml:space="preserve">Article, FAQPage</t>
  </si>
  <si>
    <t xml:space="preserve">Topic B Checklist</t>
  </si>
  <si>
    <t xml:space="preserve">Article</t>
  </si>
  <si>
    <t xml:space="preserve">Contact Demo Client</t>
  </si>
  <si>
    <t xml:space="preserve">Get in touch with our team.</t>
  </si>
  <si>
    <t xml:space="preserve">Contact Us</t>
  </si>
  <si>
    <t xml:space="preserve">(none)</t>
  </si>
  <si>
    <t xml:space="preserve">Add rows for every crawled URL. Duplicate-meta and missing-meta rows above match the open issue logged in 13_Data_Technical_Content (23 URLs, due 2026-07-07).</t>
  </si>
  <si>
    <t xml:space="preserve">Backlink Data Input</t>
  </si>
  <si>
    <t xml:space="preserve">One row per referring link. SAMPLE DATA — replace with an Ahrefs / Semrush backlink export. This tab did not exist in the source workbook; its absence blocked all link-quality and anchor-text analysis — a real risk given 47% YoY referring-domain growth with no visibility into it.</t>
  </si>
  <si>
    <t xml:space="preserve">Source Domain</t>
  </si>
  <si>
    <t xml:space="preserve">Source URL</t>
  </si>
  <si>
    <t xml:space="preserve">Target URL</t>
  </si>
  <si>
    <t xml:space="preserve">Anchor Text</t>
  </si>
  <si>
    <t xml:space="preserve">Anchor Type</t>
  </si>
  <si>
    <t xml:space="preserve">Follow?</t>
  </si>
  <si>
    <t xml:space="preserve">Domain Rating</t>
  </si>
  <si>
    <t xml:space="preserve">Spam Score</t>
  </si>
  <si>
    <t xml:space="preserve">First Seen</t>
  </si>
  <si>
    <t xml:space="preserve">Lost Date</t>
  </si>
  <si>
    <t xml:space="preserve">Link Type</t>
  </si>
  <si>
    <t xml:space="preserve">industrynews.example</t>
  </si>
  <si>
    <t xml:space="preserve">industrynews.example/roundup-2026</t>
  </si>
  <si>
    <t xml:space="preserve">2026-04-12</t>
  </si>
  <si>
    <t xml:space="preserve">Editorial</t>
  </si>
  <si>
    <t xml:space="preserve">comparesites.example</t>
  </si>
  <si>
    <t xml:space="preserve">comparesites.example/service-a-reviews</t>
  </si>
  <si>
    <t xml:space="preserve">best service a provider</t>
  </si>
  <si>
    <t xml:space="preserve">Exact</t>
  </si>
  <si>
    <t xml:space="preserve">2026-05-03</t>
  </si>
  <si>
    <t xml:space="preserve">Monitor — exact-match anchor</t>
  </si>
  <si>
    <t xml:space="preserve">localdirectory.example</t>
  </si>
  <si>
    <t xml:space="preserve">localdirectory.example/listings</t>
  </si>
  <si>
    <t xml:space="preserve">2026-03-20</t>
  </si>
  <si>
    <t xml:space="preserve">Directory</t>
  </si>
  <si>
    <t xml:space="preserve">partnerblog.example</t>
  </si>
  <si>
    <t xml:space="preserve">partnerblog.example/guides/topic-a</t>
  </si>
  <si>
    <t xml:space="preserve">this guide</t>
  </si>
  <si>
    <t xml:space="preserve">Generic</t>
  </si>
  <si>
    <t xml:space="preserve">2026-05-28</t>
  </si>
  <si>
    <t xml:space="preserve">spamlinkfarm.example</t>
  </si>
  <si>
    <t xml:space="preserve">spamlinkfarm.example/page123</t>
  </si>
  <si>
    <t xml:space="preserve">service b demo client cheap</t>
  </si>
  <si>
    <t xml:space="preserve">2026-06-02</t>
  </si>
  <si>
    <t xml:space="preserve">Unknown</t>
  </si>
  <si>
    <t xml:space="preserve">FLAG — high spam score, exact-match anchor</t>
  </si>
  <si>
    <t xml:space="preserve">forumsite.example</t>
  </si>
  <si>
    <t xml:space="preserve">forumsite.example/thread/456</t>
  </si>
  <si>
    <t xml:space="preserve">Partial</t>
  </si>
  <si>
    <t xml:space="preserve">2026-02-14</t>
  </si>
  <si>
    <t xml:space="preserve">2026-06-18</t>
  </si>
  <si>
    <t xml:space="preserve">Forum</t>
  </si>
  <si>
    <t xml:space="preserve">Lost — thread archived</t>
  </si>
  <si>
    <t xml:space="preserve">Anchor Type should be one of: Brand, Exact, Partial, Generic, Naked URL, Image. Track the Brand+Generic share against a 50-60% healthy baseline; flag Domain Rating&lt;20 with Spam Score&gt;50.</t>
  </si>
  <si>
    <t xml:space="preserve">AI Input &amp; Data Quality Layer</t>
  </si>
  <si>
    <t xml:space="preserve">Clean evidence table for downstream AI analysis. Facts first, narrative second.</t>
  </si>
  <si>
    <t xml:space="preserve">DATA QUALITY CHECKS</t>
  </si>
  <si>
    <t xml:space="preserve">Check</t>
  </si>
  <si>
    <t xml:space="preserve">Result</t>
  </si>
  <si>
    <t xml:space="preserve">Current Period</t>
  </si>
  <si>
    <t xml:space="preserve">Previous Period</t>
  </si>
  <si>
    <t xml:space="preserve">Difference</t>
  </si>
  <si>
    <t xml:space="preserve">Interpretation</t>
  </si>
  <si>
    <t xml:space="preserve">GA4 rows</t>
  </si>
  <si>
    <t xml:space="preserve">Rows available for current period</t>
  </si>
  <si>
    <t xml:space="preserve">Confirm all dates imported</t>
  </si>
  <si>
    <t xml:space="preserve">GSC rows</t>
  </si>
  <si>
    <t xml:space="preserve">Confirm query/page dimensions</t>
  </si>
  <si>
    <t xml:space="preserve">CRM conversions</t>
  </si>
  <si>
    <t xml:space="preserve">CRM outcomes available</t>
  </si>
  <si>
    <t xml:space="preserve">Check lead IDs and source</t>
  </si>
  <si>
    <t xml:space="preserve">Period day alignment</t>
  </si>
  <si>
    <t xml:space="preserve">Comparison periods should align</t>
  </si>
  <si>
    <t xml:space="preserve">Adjust dates when unequal</t>
  </si>
  <si>
    <t xml:space="preserve">CORE KPI FACT TABLE</t>
  </si>
  <si>
    <t xml:space="preserve">Current</t>
  </si>
  <si>
    <t xml:space="preserve">Previous</t>
  </si>
  <si>
    <t xml:space="preserve">YoY</t>
  </si>
  <si>
    <t xml:space="preserve">MoM Change</t>
  </si>
  <si>
    <t xml:space="preserve">YoY Change</t>
  </si>
  <si>
    <t xml:space="preserve">Target</t>
  </si>
  <si>
    <t xml:space="preserve">Target Attainment</t>
  </si>
  <si>
    <t xml:space="preserve">Segment</t>
  </si>
  <si>
    <t xml:space="preserve">Conversions</t>
  </si>
  <si>
    <t xml:space="preserve">CRM</t>
  </si>
  <si>
    <t xml:space="preserve">Traffic</t>
  </si>
  <si>
    <t xml:space="preserve">GA4</t>
  </si>
  <si>
    <t xml:space="preserve">Search</t>
  </si>
  <si>
    <t xml:space="preserve">GSC</t>
  </si>
  <si>
    <t xml:space="preserve">Conversion</t>
  </si>
  <si>
    <t xml:space="preserve">Calculated</t>
  </si>
  <si>
    <t xml:space="preserve">Qualified Conversion Rate</t>
  </si>
  <si>
    <t xml:space="preserve">Crawl/GSC</t>
  </si>
  <si>
    <t xml:space="preserve">CrUX/PSI</t>
  </si>
  <si>
    <t xml:space="preserve">Crawl</t>
  </si>
  <si>
    <t xml:space="preserve">Organic Pipeline Value</t>
  </si>
  <si>
    <t xml:space="preserve">Business Value</t>
  </si>
  <si>
    <t xml:space="preserve">Customers Closed</t>
  </si>
  <si>
    <t xml:space="preserve">Qualified -&gt; Customer Rate</t>
  </si>
  <si>
    <t xml:space="preserve">Non-brand Clicks (absolute)</t>
  </si>
  <si>
    <t xml:space="preserve">SEO Cost</t>
  </si>
  <si>
    <t xml:space="preserve">Cost</t>
  </si>
  <si>
    <t xml:space="preserve">Setup</t>
  </si>
  <si>
    <t xml:space="preserve">Cost per Conversion</t>
  </si>
  <si>
    <t xml:space="preserve">Organic ROI</t>
  </si>
  <si>
    <t xml:space="preserve">Organic Click Value</t>
  </si>
  <si>
    <t xml:space="preserve">SEO Tool</t>
  </si>
  <si>
    <t xml:space="preserve">Net Referring Domains (month)</t>
  </si>
  <si>
    <t xml:space="preserve">Authority</t>
  </si>
  <si>
    <t xml:space="preserve">BUG FIX (from audit Section 4 build note): rows 21-23 previously hard-set Previous/YoY = Current, which always read 0% change regardless of the data — and the underlying SUMIFS did not filter by Snapshot Date, so a second month of crawl data would have silently merged with the first. Both are fixed above. Only one crawl snapshot (2026-06-30) currently exists, so Previous/YoY correctly return blank rather than a fabricated number — they will populate automatically once a second dated snapshot is added to 13_Data_Technical_Content.</t>
  </si>
  <si>
    <t xml:space="preserve">NEW METRICS (rows 25-33) — closing gaps flagged in the audit: Customers Closed and Qualified-&gt;Customer Rate (caught the 24.7% -&gt; 16.0% decline no prior view surfaced); Non-brand Clicks absolute (share alone hides whether the underlying number is growing); SEO Cost / Cost per Conversion / Organic ROI / Organic Click Value (no cost or ROI field existed anywhere in the source workbook); Weighted Visibility and Net Referring Domains (present in 12_Data_SEO_Tools but never surfaced in the fact table).</t>
  </si>
  <si>
    <t xml:space="preserve">Executive SEO Dashboard</t>
  </si>
  <si>
    <t xml:space="preserve">Reusable client-level view: business outcomes, search growth, targets and risk.</t>
  </si>
  <si>
    <t xml:space="preserve">Qualified Conversions</t>
  </si>
  <si>
    <t xml:space="preserve">Technical Risk</t>
  </si>
  <si>
    <t xml:space="preserve">EXECUTIVE SCORECARD</t>
  </si>
  <si>
    <t xml:space="preserve">MoM</t>
  </si>
  <si>
    <t xml:space="preserve">Attainment</t>
  </si>
  <si>
    <t xml:space="preserve">Management Interpretation</t>
  </si>
  <si>
    <t xml:space="preserve">TOP PAGE OPPORTUNITIES</t>
  </si>
  <si>
    <t xml:space="preserve">Conversion Rate</t>
  </si>
  <si>
    <t xml:space="preserve">EXECUTIVE ACTION REGISTER</t>
  </si>
  <si>
    <t xml:space="preserve">Evidence</t>
  </si>
  <si>
    <t xml:space="preserve">Impact</t>
  </si>
  <si>
    <t xml:space="preserve">Due</t>
  </si>
  <si>
    <t xml:space="preserve">Improve low-CTR page-one queries</t>
  </si>
  <si>
    <t xml:space="preserve">High impressions with CTR below benchmark</t>
  </si>
  <si>
    <t xml:space="preserve">More clicks without new rankings</t>
  </si>
  <si>
    <t xml:space="preserve">Fix critical mobile performance issue</t>
  </si>
  <si>
    <t xml:space="preserve">CWV pass rate below target</t>
  </si>
  <si>
    <t xml:space="preserve">Higher engagement and conversion</t>
  </si>
  <si>
    <t xml:space="preserve">Strengthen high-converting landing pages</t>
  </si>
  <si>
    <t xml:space="preserve">Service pages lead conversion</t>
  </si>
  <si>
    <t xml:space="preserve">More qualified conversions</t>
  </si>
  <si>
    <t xml:space="preserve">SEO/Content</t>
  </si>
  <si>
    <t xml:space="preserve">Refresh declining evergreen content</t>
  </si>
  <si>
    <t xml:space="preserve">Content decay detected</t>
  </si>
  <si>
    <t xml:space="preserve">Recover lost traffic</t>
  </si>
  <si>
    <t xml:space="preserve">EXECUTIVE SCORECARD (CONTINUED) — NEW METRICS FROM THE AUDIT</t>
  </si>
  <si>
    <t xml:space="preserve">EXTENDED (audit build note): this block surfaces Customers Closed, Qualified→Customer Rate, Non-brand Clicks (absolute), SEO Cost, Cost per Conversion, Organic ROI, Organic Click Value, Weighted Visibility and Net Referring Domains -- none of which appeared on the original dashboard despite driving the audit’s top findings.</t>
  </si>
  <si>
    <t xml:space="preserve">BUSINESS-CRITICAL METRICS (added — flagged as decisive but previously invisible)</t>
  </si>
  <si>
    <t xml:space="preserve">Qualified → Customer Rate</t>
  </si>
  <si>
    <t xml:space="preserve">TOP SEARCH OPPORTUNITIES — RANKED BY WEIGHTED OPPORTUNITY SCORE</t>
  </si>
  <si>
    <t xml:space="preserve">Opportunity Score</t>
  </si>
  <si>
    <t xml:space="preserve">Weekly SEO Review</t>
  </si>
  <si>
    <t xml:space="preserve">Current week vs previous week vs four-week average vs target.</t>
  </si>
  <si>
    <t xml:space="preserve">WEEKLY KPI SCORECARD</t>
  </si>
  <si>
    <t xml:space="preserve">Current Week</t>
  </si>
  <si>
    <t xml:space="preserve">Previous Week</t>
  </si>
  <si>
    <t xml:space="preserve">4-Week Avg</t>
  </si>
  <si>
    <t xml:space="preserve">Variance to Target</t>
  </si>
  <si>
    <t xml:space="preserve">WEEKLY WINNERS, LOSERS &amp; ISSUES</t>
  </si>
  <si>
    <t xml:space="preserve">BUG FIX (from audit build note): "4-Week Avg" previously averaged only the current and previous week (2 weeks, mislabeled as 4). Fixed to a genuine trailing 4-week average computed directly from source rows for weeks W-1 through W-4.</t>
  </si>
  <si>
    <t xml:space="preserve">Helper: page session MoM (do not delete — feeds Winner/Loser below)</t>
  </si>
  <si>
    <t xml:space="preserve">FIXED (audit build note): all 4 rows above previously typed static text, including a "Loser: /blog/topic-b/, Traffic decline" claim that contradicted the actual +6.3% MoM session growth (same error corrected at its source in 13_Data_Technical_Content). All rows are now formulas that recompute from source data each period.</t>
  </si>
  <si>
    <t xml:space="preserve">WORK COMPLETED &amp; NEXT-WEEK PLAN</t>
  </si>
  <si>
    <t xml:space="preserve">Activity / Action</t>
  </si>
  <si>
    <t xml:space="preserve">Output</t>
  </si>
  <si>
    <t xml:space="preserve">Business Link</t>
  </si>
  <si>
    <t xml:space="preserve">Updated service metadata</t>
  </si>
  <si>
    <t xml:space="preserve">On-page</t>
  </si>
  <si>
    <t xml:space="preserve">8 pages</t>
  </si>
  <si>
    <t xml:space="preserve">CTR opportunity</t>
  </si>
  <si>
    <t xml:space="preserve">Published topic cluster article</t>
  </si>
  <si>
    <t xml:space="preserve">1 article</t>
  </si>
  <si>
    <t xml:space="preserve">Non-brand growth</t>
  </si>
  <si>
    <t xml:space="preserve">Conversion risk</t>
  </si>
  <si>
    <t xml:space="preserve">Refresh declining blog</t>
  </si>
  <si>
    <t xml:space="preserve">Traffic recovery</t>
  </si>
  <si>
    <t xml:space="preserve">Monthly SEO Business Review</t>
  </si>
  <si>
    <t xml:space="preserve">MoM, YoY, target attainment, causes, opportunities and next actions.</t>
  </si>
  <si>
    <t xml:space="preserve">MONTHLY BUSINESS SCORECARD</t>
  </si>
  <si>
    <t xml:space="preserve">MONTHLY DIAGNOSIS</t>
  </si>
  <si>
    <t xml:space="preserve">Finding</t>
  </si>
  <si>
    <t xml:space="preserve">Root Cause</t>
  </si>
  <si>
    <t xml:space="preserve">Business Impact</t>
  </si>
  <si>
    <t xml:space="preserve">Confidence</t>
  </si>
  <si>
    <t xml:space="preserve">Recommended Action</t>
  </si>
  <si>
    <t xml:space="preserve">Conversions grew faster than sessions</t>
  </si>
  <si>
    <t xml:space="preserve">Conversion and session growth comparison</t>
  </si>
  <si>
    <t xml:space="preserve">Landing page quality improved</t>
  </si>
  <si>
    <t xml:space="preserve">More business from similar traffic</t>
  </si>
  <si>
    <t xml:space="preserve">Scale winning pages</t>
  </si>
  <si>
    <t xml:space="preserve">Non-brand share remains below target</t>
  </si>
  <si>
    <t xml:space="preserve">Current vs target</t>
  </si>
  <si>
    <t xml:space="preserve">Commercial query coverage incomplete</t>
  </si>
  <si>
    <t xml:space="preserve">Limited new-customer discovery</t>
  </si>
  <si>
    <t xml:space="preserve">Expand non-brand clusters</t>
  </si>
  <si>
    <t xml:space="preserve">Technical risk persists</t>
  </si>
  <si>
    <t xml:space="preserve">CWV and critical issue rates</t>
  </si>
  <si>
    <t xml:space="preserve">Mobile template performance</t>
  </si>
  <si>
    <t xml:space="preserve">Conversion friction</t>
  </si>
  <si>
    <t xml:space="preserve">Prioritize template fix</t>
  </si>
  <si>
    <t xml:space="preserve">Declining evergreen page</t>
  </si>
  <si>
    <t xml:space="preserve">Outdated content / competition</t>
  </si>
  <si>
    <t xml:space="preserve">Traffic loss</t>
  </si>
  <si>
    <t xml:space="preserve">Refresh and re-promote</t>
  </si>
  <si>
    <t xml:space="preserve">MONTHLY ACTION PLAN</t>
  </si>
  <si>
    <t xml:space="preserve">Objective</t>
  </si>
  <si>
    <t xml:space="preserve">Deadline</t>
  </si>
  <si>
    <t xml:space="preserve">Success KPI</t>
  </si>
  <si>
    <t xml:space="preserve">Expected Impact</t>
  </si>
  <si>
    <t xml:space="preserve">Capture existing impressions</t>
  </si>
  <si>
    <t xml:space="preserve">CTR +0.3 pp</t>
  </si>
  <si>
    <t xml:space="preserve">+10–15% clicks</t>
  </si>
  <si>
    <t xml:space="preserve">Conversion review for service pages</t>
  </si>
  <si>
    <t xml:space="preserve">Increase lead efficiency</t>
  </si>
  <si>
    <t xml:space="preserve">SEO/Sales</t>
  </si>
  <si>
    <t xml:space="preserve">CVR +0.1 pp</t>
  </si>
  <si>
    <t xml:space="preserve">+10% conversions</t>
  </si>
  <si>
    <t xml:space="preserve">Reduce technical conversion risk</t>
  </si>
  <si>
    <t xml:space="preserve">CWV pass &gt;90%</t>
  </si>
  <si>
    <t xml:space="preserve">Higher mobile engagement</t>
  </si>
  <si>
    <t xml:space="preserve">Refresh decaying content</t>
  </si>
  <si>
    <t xml:space="preserve">Clicks +20%</t>
  </si>
  <si>
    <t xml:space="preserve">Page &amp; Query Analysis</t>
  </si>
  <si>
    <t xml:space="preserve">Essential page-level conversion and query-level opportunity analysis.</t>
  </si>
  <si>
    <t xml:space="preserve">LANDING PAGE PERFORMANCE</t>
  </si>
  <si>
    <t xml:space="preserve">CVR</t>
  </si>
  <si>
    <t xml:space="preserve">Avg Position</t>
  </si>
  <si>
    <t xml:space="preserve">QUERY OPPORTUNITY MODEL</t>
  </si>
  <si>
    <t xml:space="preserve">Expected CTR</t>
  </si>
  <si>
    <t xml:space="preserve">Opportunity Clicks</t>
  </si>
  <si>
    <t xml:space="preserve">Page CVR</t>
  </si>
  <si>
    <t xml:space="preserve">Potential Conversions</t>
  </si>
  <si>
    <t xml:space="preserve">MODEL UPGRADE (audit build note): Expected CTR (col G) now uses the 20-position benchmark curve from 00_Setup instead of a 4-step ladder that made positions 4 and 5 identical. Opportunity Score (col M, new) weights Click Gap by position band — positions 4-10 score highest because they are the cheapest wins (page 1, not yet top 3). Priority (col K) now ranks by this weighted score rather than raw potential conversions, so a large-volume position-1 query with no remaining gap no longer outranks a real opportunity.</t>
  </si>
  <si>
    <t xml:space="preserve">Content Performance &amp; Decay</t>
  </si>
  <si>
    <t xml:space="preserve">Track only content contribution, conversion efficiency, decay and priority actions.</t>
  </si>
  <si>
    <t xml:space="preserve">CONTENT SCORECARD</t>
  </si>
  <si>
    <t xml:space="preserve">Content URL</t>
  </si>
  <si>
    <t xml:space="preserve">Current Sessions</t>
  </si>
  <si>
    <t xml:space="preserve">Previous Sessions</t>
  </si>
  <si>
    <t xml:space="preserve">Change</t>
  </si>
  <si>
    <t xml:space="preserve">Content Contribution</t>
  </si>
  <si>
    <t xml:space="preserve">Decay Flag</t>
  </si>
  <si>
    <t xml:space="preserve">Rank Trend (tracked query)</t>
  </si>
  <si>
    <t xml:space="preserve">Rank Signal</t>
  </si>
  <si>
    <t xml:space="preserve">CONTENT PRODUCTION &amp; ACTION REGISTER</t>
  </si>
  <si>
    <t xml:space="preserve">Planned Content / Update</t>
  </si>
  <si>
    <t xml:space="preserve">Search Intent</t>
  </si>
  <si>
    <t xml:space="preserve">Business Goal</t>
  </si>
  <si>
    <t xml:space="preserve">Service A comparison guide</t>
  </si>
  <si>
    <t xml:space="preserve">Qualified conversions</t>
  </si>
  <si>
    <t xml:space="preserve">Refresh Topic B checklist</t>
  </si>
  <si>
    <t xml:space="preserve">Recover clicks</t>
  </si>
  <si>
    <t xml:space="preserve">Service B FAQ expansion</t>
  </si>
  <si>
    <t xml:space="preserve">CTR + conversion</t>
  </si>
  <si>
    <t xml:space="preserve">NEW (audit build note): Rank Trend / Rank Signal added because the audit found rank decay (position 10 -&gt; 12 on the topic-b query) can precede traffic decay by weeks. The Decay Flag (col I) alone would not have caught this while sessions were still rising on momentum.</t>
  </si>
  <si>
    <t xml:space="preserve">Technical SEO &amp; Authority</t>
  </si>
  <si>
    <t xml:space="preserve">Essential risk metrics only: indexation, CWV, critical issues and referring-domain health.</t>
  </si>
  <si>
    <t xml:space="preserve">TECHNICAL KPI SCORECARD</t>
  </si>
  <si>
    <t xml:space="preserve">Variance</t>
  </si>
  <si>
    <t xml:space="preserve">Risk</t>
  </si>
  <si>
    <t xml:space="preserve">Required Action</t>
  </si>
  <si>
    <t xml:space="preserve">Review excluded and duplicate URLs</t>
  </si>
  <si>
    <t xml:space="preserve">Fix shared templates</t>
  </si>
  <si>
    <t xml:space="preserve">Resolve indexability/performance blockers</t>
  </si>
  <si>
    <t xml:space="preserve">OPEN TECHNICAL ISSUES</t>
  </si>
  <si>
    <t xml:space="preserve">Affected Scope</t>
  </si>
  <si>
    <t xml:space="preserve">Business Risk</t>
  </si>
  <si>
    <t xml:space="preserve">Conversion and CWV</t>
  </si>
  <si>
    <t xml:space="preserve">Optimize images, CSS and server response</t>
  </si>
  <si>
    <t xml:space="preserve">CTR and relevance</t>
  </si>
  <si>
    <t xml:space="preserve">Rewrite priority pages first</t>
  </si>
  <si>
    <t xml:space="preserve">AUTHORITY &amp; COMPETITOR SNAPSHOT</t>
  </si>
  <si>
    <t xml:space="preserve">Net Growth</t>
  </si>
  <si>
    <t xml:space="preserve">SEO Action Register</t>
  </si>
  <si>
    <t xml:space="preserve">Single source of truth for recommended work, ownership, deadlines and outcome tracking.</t>
  </si>
  <si>
    <t xml:space="preserve">PRIORITIZED ACTIONS</t>
  </si>
  <si>
    <t xml:space="preserve">Action ID</t>
  </si>
  <si>
    <t xml:space="preserve">Start Date</t>
  </si>
  <si>
    <t xml:space="preserve">Due Date</t>
  </si>
  <si>
    <t xml:space="preserve">Learning</t>
  </si>
  <si>
    <t xml:space="preserve">Expected Metric</t>
  </si>
  <si>
    <t xml:space="preserve">Expected Lag (weeks)</t>
  </si>
  <si>
    <t xml:space="preserve">Weeks Since Live</t>
  </si>
  <si>
    <t xml:space="preserve">Impact Status</t>
  </si>
  <si>
    <t xml:space="preserve">A-001</t>
  </si>
  <si>
    <t xml:space="preserve">Improve CTR for page-one commercial queries</t>
  </si>
  <si>
    <t xml:space="preserve">Opportunity clicks model</t>
  </si>
  <si>
    <t xml:space="preserve">More organic clicks and conversions</t>
  </si>
  <si>
    <t xml:space="preserve">A-002</t>
  </si>
  <si>
    <t xml:space="preserve">Fix mobile LCP on key template</t>
  </si>
  <si>
    <t xml:space="preserve">CWV below target</t>
  </si>
  <si>
    <t xml:space="preserve">Higher mobile engagement and CVR</t>
  </si>
  <si>
    <t xml:space="preserve">A-003</t>
  </si>
  <si>
    <t xml:space="preserve">Content decay flag</t>
  </si>
  <si>
    <t xml:space="preserve">Recover clicks and assisted conversions</t>
  </si>
  <si>
    <t xml:space="preserve">A-004</t>
  </si>
  <si>
    <t xml:space="preserve">Improve service-page conversion path</t>
  </si>
  <si>
    <t xml:space="preserve">CVR below target</t>
  </si>
  <si>
    <t xml:space="preserve">SEO / Sales</t>
  </si>
  <si>
    <t xml:space="preserve">NEW (audit build note, ported from Report A's actions-log model): Expected Metric, Expected Lag, Weeks Since Live and Impact Status close the attribution gap — the ability to tell whether enough time has passed to credit an action for a metric change, rather than assuming correlation. This was identified as Report A's single most valuable capability that Report B lacked.</t>
  </si>
  <si>
    <t xml:space="preserve">How to Use This Workbook</t>
  </si>
  <si>
    <t xml:space="preserve">Reusable SEO reporting model for weekly and monthly analysis.</t>
  </si>
  <si>
    <t xml:space="preserve">WORKFLOW</t>
  </si>
  <si>
    <t xml:space="preserve">1</t>
  </si>
  <si>
    <t xml:space="preserve">Configure</t>
  </si>
  <si>
    <t xml:space="preserve">Update client, reporting periods, targets and conversion labels in 00_Setup.</t>
  </si>
  <si>
    <t xml:space="preserve">2</t>
  </si>
  <si>
    <t xml:space="preserve">Load Data</t>
  </si>
  <si>
    <t xml:space="preserve">Replace demo records in the five raw-data tabs.</t>
  </si>
  <si>
    <t xml:space="preserve">3</t>
  </si>
  <si>
    <t xml:space="preserve">Validate</t>
  </si>
  <si>
    <t xml:space="preserve">Check 08_AI_Input data-quality section before interpreting results.</t>
  </si>
  <si>
    <t xml:space="preserve">4</t>
  </si>
  <si>
    <t xml:space="preserve">Analyze</t>
  </si>
  <si>
    <t xml:space="preserve">Use Dashboard, Weekly, Monthly, Page/Query, Content and Technical tabs.</t>
  </si>
  <si>
    <t xml:space="preserve">5</t>
  </si>
  <si>
    <t xml:space="preserve">Act</t>
  </si>
  <si>
    <t xml:space="preserve">Move approved recommendations into 07_Action_Register.</t>
  </si>
  <si>
    <t xml:space="preserve">6</t>
  </si>
  <si>
    <t xml:space="preserve">Feed AI</t>
  </si>
  <si>
    <t xml:space="preserve">Send only 08_AI_Input plus relevant detailed tables to the AI.</t>
  </si>
  <si>
    <t xml:space="preserve">FINAL KPI POLICY</t>
  </si>
  <si>
    <t xml:space="preserve">Executive KPIs</t>
  </si>
  <si>
    <t xml:space="preserve">Conversions, qualified conversions, conversion rate, pipeline/revenue, clicks, sessions, non-brand share and technical risk.</t>
  </si>
  <si>
    <t xml:space="preserve">Diagnostic KPIs</t>
  </si>
  <si>
    <t xml:space="preserve">CTR, position, landing-page CVR, content decay, indexation, CWV and referring domains.</t>
  </si>
  <si>
    <t xml:space="preserve">Excluded Vanity Metrics</t>
  </si>
  <si>
    <t xml:space="preserve">Traffic cost, total backlinks, total keyword count, new users, returning users and authority score as executive KPIs.</t>
  </si>
  <si>
    <t xml:space="preserve">Comparison Rules</t>
  </si>
  <si>
    <t xml:space="preserve">Weekly: previous week + 4-week average + target. Monthly: MoM + YoY + target.</t>
  </si>
  <si>
    <t xml:space="preserve">AI Rules</t>
  </si>
  <si>
    <t xml:space="preserve">AI must receive structured facts, data-quality warnings, winners, losers, opportunities and open actions.</t>
  </si>
  <si>
    <t xml:space="preserve">SHEET MAP</t>
  </si>
  <si>
    <t xml:space="preserve">00_Setup</t>
  </si>
  <si>
    <t xml:space="preserve">Client configuration, targets, CTR benchmark curve, cost inputs, thresholds</t>
  </si>
  <si>
    <t xml:space="preserve">09_Data_GA4</t>
  </si>
  <si>
    <t xml:space="preserve">Raw GA4 sessions/engagement — input</t>
  </si>
  <si>
    <t xml:space="preserve">10_Data_GSC</t>
  </si>
  <si>
    <t xml:space="preserve">Raw Search Console clicks/impressions/position — input</t>
  </si>
  <si>
    <t xml:space="preserve">11_Data_Conversions</t>
  </si>
  <si>
    <t xml:space="preserve">Raw CRM lead-level records — input</t>
  </si>
  <si>
    <t xml:space="preserve">12_Data_SEO_Tools</t>
  </si>
  <si>
    <t xml:space="preserve">Raw keyword/domain/backlink-count snapshots — input</t>
  </si>
  <si>
    <t xml:space="preserve">13_Data_Technical_Content</t>
  </si>
  <si>
    <t xml:space="preserve">Raw crawl health, CWV, issues, content status — input</t>
  </si>
  <si>
    <t xml:space="preserve">14_Data_OnPage</t>
  </si>
  <si>
    <t xml:space="preserve">NEW — title/meta/H1/word count/internal links/schema — input</t>
  </si>
  <si>
    <t xml:space="preserve">15_Data_Backlinks</t>
  </si>
  <si>
    <t xml:space="preserve">NEW — anchor text, follow, domain rating, spam score — input</t>
  </si>
  <si>
    <t xml:space="preserve">08_AI_Input</t>
  </si>
  <si>
    <t xml:space="preserve">Clean AI-ready evidence layer — extended with Cost/ROI/Customer metrics</t>
  </si>
  <si>
    <t xml:space="preserve">01_Executive_Dashboard</t>
  </si>
  <si>
    <t xml:space="preserve">Management view — extended with Tier-1 cards + ranked opportunities</t>
  </si>
  <si>
    <t xml:space="preserve">02_Weekly_Review</t>
  </si>
  <si>
    <t xml:space="preserve">Weekly operational review — 4-Week Avg bug fixed; Winners/Losers formula-driven</t>
  </si>
  <si>
    <t xml:space="preserve">03_Monthly_Review</t>
  </si>
  <si>
    <t xml:space="preserve">Monthly business review</t>
  </si>
  <si>
    <t xml:space="preserve">04_Page_Query_Analysis</t>
  </si>
  <si>
    <t xml:space="preserve">Page/query opportunity model — real 20-position CTR curve + Opportunity Score</t>
  </si>
  <si>
    <t xml:space="preserve">05_Content_Analysis</t>
  </si>
  <si>
    <t xml:space="preserve">Content contribution and decay — Rank Trend signal added</t>
  </si>
  <si>
    <t xml:space="preserve">06_Technical_Authority</t>
  </si>
  <si>
    <t xml:space="preserve">Technical risk and competitive authority</t>
  </si>
  <si>
    <t xml:space="preserve">07_Action_Register</t>
  </si>
  <si>
    <t xml:space="preserve">Accountability and outcomes — actions-log attribution model added</t>
  </si>
  <si>
    <t xml:space="preserve">COLOR LEGEND (introduced in this build — the source workbook used none)</t>
  </si>
  <si>
    <t xml:space="preserve">Blue text</t>
  </si>
  <si>
    <t xml:space="preserve">Hardcoded input — safe to edit (client settings, targets, sample data rows)</t>
  </si>
  <si>
    <t xml:space="preserve">Black text</t>
  </si>
  <si>
    <t xml:space="preserve">Formula referencing the same sheet — do not edit</t>
  </si>
  <si>
    <t xml:space="preserve">Green text</t>
  </si>
  <si>
    <t xml:space="preserve">Formula linking to another sheet — do not edit</t>
  </si>
  <si>
    <t xml:space="preserve">Yellow fill</t>
  </si>
  <si>
    <t xml:space="preserve">A cell or note this build changed from the source workbook — a bug fix or assumption worth checking</t>
  </si>
  <si>
    <t xml:space="preserve">Light green fill</t>
  </si>
  <si>
    <t xml:space="preserve">A new metric, column, or table added in this build that did not exist in either source workbook</t>
  </si>
  <si>
    <t xml:space="preserve">CHANGELOG — THIS BUILD (Master SEO Workbook, merged from Draft_Format.xlsx + SEO_Performance_Engine_Template.xlsx)</t>
  </si>
  <si>
    <t xml:space="preserve">•</t>
  </si>
  <si>
    <t xml:space="preserve">BUG FIX — 02_Weekly_Review "4-Week Avg" (col D) averaged only 2 weeks; now a genuine trailing 4-week calculation.</t>
  </si>
  <si>
    <t xml:space="preserve">BUG FIX — 08_AI_Input technical KPIs (rows 21-23) set Previous/YoY = Current, always reading 0% change; now correctly date-scoped and honestly blank until a second crawl snapshot exists.</t>
  </si>
  <si>
    <t xml:space="preserve">BUG FIX — 13_Data_Technical_Content SUMIFS did not filter by Snapshot Date; a second month of crawl data would have silently merged. Now date-scoped.</t>
  </si>
  <si>
    <t xml:space="preserve">BUG FIX — 13_Data_Technical_Content row 15 hard-typed "Traffic down &gt;20%" for /blog/topic-b/, contradicting the real +6.3% MoM session growth. Corrected; real risk (rank slip 10→12) now surfaced via a new Rank Trend signal on 05_Content_Analysis.</t>
  </si>
  <si>
    <t xml:space="preserve">BUG FIX — 04_Page_Query_Analysis column B used a broken/unreadable ArrayFormula object; replaced with a plain INDEX/MATCH lookup.</t>
  </si>
  <si>
    <t xml:space="preserve">MODEL UPGRADE — Query Opportunity Model: replaced a 4-step flat CTR ladder with the real 20-position benchmark curve (ported from Report A, 00_Setup), and added a weighted Opportunity Score so ranking reflects cheapest-win positions (4-10), not raw volume.</t>
  </si>
  <si>
    <t xml:space="preserve">MODEL UPGRADE — 02_Weekly_Review Winners/Losers/Issues: converted from 4 hard-typed rows to formulas that recompute from source data every period.</t>
  </si>
  <si>
    <t xml:space="preserve">NEW — 14_Data_OnPage and 15_Data_Backlinks: closes the on-page/architecture and link-quality blind spots flagged in the source audit. Sample rows only — replace with a real crawl/backlink export.</t>
  </si>
  <si>
    <t xml:space="preserve">NEW — 08_AI_Input rows 25-33: Customers Closed, Qualified→Customer Rate, Non-brand Clicks (absolute), SEO Cost, Cost per Conversion, Organic ROI, Organic Click Value, Weighted Visibility, Net Referring Domains.</t>
  </si>
  <si>
    <t xml:space="preserve">NEW — 01_Executive_Dashboard: Tier-1 KPI cards for the above metrics, an extended scorecard, and a Top Search Opportunities table ranked by weighted Opportunity Score.</t>
  </si>
  <si>
    <t xml:space="preserve">NEW — 07_Action_Register: actions-log attribution model (Expected Metric, Expected Lag, Weeks Since Live, Impact Status) ported from Report A — the capability identified as its single most valuable one Report B lacked.</t>
  </si>
  <si>
    <t xml:space="preserve">NEW — 00_Setup: SEO Cost and benchmark CPC inputs, 20-position CTR curve, opportunity-score weights, anomaly-detection thresholds, and a recalibrated Non-brand Click Share target (34% at 90 days / 45% at 12 months, replacing an unreachable 70%).</t>
  </si>
  <si>
    <t xml:space="preserve">NOT FIXED (documented, not fabricated) — competitor keyword-gap analysis: neither source workbook holds competitor keyword lists, and none has been added. Do not treat any keyword-gap claim in downstream reports as sourced from this workbook until 12_Data_SEO_Tools is extended with a CompetitorKeyword record type.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</si>
</sst>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yyyy\-mm\-dd"/>
    <numFmt numFmtId="166" formatCode="0.00%"/>
    <numFmt numFmtId="167" formatCode="#,##0"/>
    <numFmt numFmtId="168" formatCode="0%"/>
    <numFmt numFmtId="169" formatCode="0.0%"/>
    <numFmt numFmtId="170" formatCode="\₹#,##0"/>
    <numFmt numFmtId="171" formatCode="General"/>
    <numFmt numFmtId="172" formatCode="0"/>
    <numFmt numFmtId="173" formatCode="0.0\x"/>
    <numFmt numFmtId="174" formatCode="0.0"/>
  </numFmts>
  <fonts count="29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ptos"/>
      <family val="0"/>
      <charset val="1"/>
    </font>
    <font>
      <sz val="11"/>
      <color theme="1"/>
      <name val="Aptos"/>
      <family val="0"/>
      <charset val="1"/>
    </font>
    <font>
      <i val="true"/>
      <sz val="10"/>
      <color rgb="FF101828"/>
      <name val="Aptos"/>
      <family val="0"/>
      <charset val="1"/>
    </font>
    <font>
      <b val="true"/>
      <sz val="11"/>
      <color rgb="FFFFFFFF"/>
      <name val="Aptos"/>
      <family val="0"/>
      <charset val="1"/>
    </font>
    <font>
      <sz val="10"/>
      <color rgb="FF101828"/>
      <name val="Aptos"/>
      <family val="0"/>
      <charset val="1"/>
    </font>
    <font>
      <sz val="10"/>
      <color rgb="FF10182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sz val="10"/>
      <color rgb="FF006100"/>
      <name val="Arial"/>
      <family val="0"/>
      <charset val="1"/>
    </font>
    <font>
      <i val="true"/>
      <sz val="9"/>
      <color rgb="FF101828"/>
      <name val="Arial"/>
      <family val="0"/>
      <charset val="1"/>
    </font>
    <font>
      <b val="true"/>
      <sz val="10"/>
      <color rgb="FF101828"/>
      <name val="Aptos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9"/>
      <color rgb="FF667085"/>
      <name val="Aptos"/>
      <family val="0"/>
      <charset val="1"/>
    </font>
    <font>
      <b val="true"/>
      <sz val="16"/>
      <color rgb="FF101828"/>
      <name val="Aptos"/>
      <family val="0"/>
      <charset val="1"/>
    </font>
    <font>
      <b val="true"/>
      <sz val="9"/>
      <color rgb="FF1F4E78"/>
      <name val="Aptos"/>
      <family val="0"/>
      <charset val="1"/>
    </font>
    <font>
      <b val="true"/>
      <sz val="16"/>
      <color rgb="FF101828"/>
      <name val="Arial"/>
      <family val="0"/>
      <charset val="1"/>
    </font>
    <font>
      <i val="true"/>
      <sz val="9"/>
      <color rgb="FF006100"/>
      <name val="Arial"/>
      <family val="0"/>
      <charset val="1"/>
    </font>
    <font>
      <i val="true"/>
      <sz val="8"/>
      <color rgb="FF101828"/>
      <name val="Arial"/>
      <family val="0"/>
      <charset val="1"/>
    </font>
    <font>
      <sz val="8"/>
      <color rgb="FF101828"/>
      <name val="Arial"/>
      <family val="0"/>
      <charset val="1"/>
    </font>
    <font>
      <sz val="8"/>
      <color rgb="FF006100"/>
      <name val="Arial"/>
      <family val="0"/>
      <charset val="1"/>
    </font>
    <font>
      <b val="true"/>
      <sz val="10"/>
      <color rgb="FF101828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61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B1F3A"/>
        <bgColor rgb="FF101828"/>
      </patternFill>
    </fill>
    <fill>
      <patternFill patternType="solid">
        <fgColor rgb="FFDCEAF7"/>
        <bgColor rgb="FFE8F5E9"/>
      </patternFill>
    </fill>
    <fill>
      <patternFill patternType="solid">
        <fgColor rgb="FF1F4E78"/>
        <bgColor rgb="FF0F766E"/>
      </patternFill>
    </fill>
    <fill>
      <patternFill patternType="solid">
        <fgColor rgb="FF0F766E"/>
        <bgColor rgb="FF008080"/>
      </patternFill>
    </fill>
    <fill>
      <patternFill patternType="solid">
        <fgColor rgb="FFFFF2CC"/>
        <bgColor rgb="FFE8F5E9"/>
      </patternFill>
    </fill>
    <fill>
      <patternFill patternType="solid">
        <fgColor rgb="FFE8F5E9"/>
        <bgColor rgb="FFF7F9FC"/>
      </patternFill>
    </fill>
    <fill>
      <patternFill patternType="solid">
        <fgColor rgb="FFF7F9F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9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5" fillId="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7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9" fontId="1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9" fontId="14" fillId="6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0" fontId="1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0" fontId="14" fillId="6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4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4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6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5" fillId="7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8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9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9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9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9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1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1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1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4" fillId="6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14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9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F766E"/>
      <rgbColor rgb="FFC0C0C0"/>
      <rgbColor rgb="FF808080"/>
      <rgbColor rgb="FF9999FF"/>
      <rgbColor rgb="FF993366"/>
      <rgbColor rgb="FFFFF2CC"/>
      <rgbColor rgb="FFDC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7F9F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7085"/>
      <rgbColor rgb="FF969696"/>
      <rgbColor rgb="FF0B1F3A"/>
      <rgbColor rgb="FF339966"/>
      <rgbColor rgb="FF101828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 pitchFamily="0" charset="1"/>
        <a:ea typeface="Carlito" pitchFamily="0" charset="1"/>
        <a:cs typeface="Carlito" pitchFamily="0" charset="1"/>
      </a:majorFont>
      <a:minorFont>
        <a:latin typeface="Carlito" pitchFamily="0" charset="1"/>
        <a:ea typeface="Carlito" pitchFamily="0" charset="1"/>
        <a:cs typeface="Carlito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2"/>
    <col collapsed="false" customWidth="true" hidden="false" outlineLevel="0" max="3" min="3" style="1" width="16"/>
    <col collapsed="false" customWidth="true" hidden="false" outlineLevel="0" max="4" min="4" style="1" width="46"/>
    <col collapsed="false" customWidth="true" hidden="false" outlineLevel="0" max="10" min="5" style="1" width="14"/>
    <col collapsed="false" customWidth="true" hidden="false" outlineLevel="0" max="26" min="11" style="1" width="8.63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P1" s="3"/>
    </row>
    <row r="2" customFormat="false" ht="1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3"/>
      <c r="L2" s="3"/>
      <c r="M2" s="3"/>
      <c r="N2" s="3"/>
      <c r="O2" s="3"/>
      <c r="P2" s="3"/>
    </row>
    <row r="3" customFormat="false" ht="15" hidden="false" customHeight="true" outlineLevel="0" collapsed="false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3"/>
      <c r="L3" s="3"/>
      <c r="M3" s="3"/>
      <c r="N3" s="3"/>
      <c r="O3" s="3"/>
      <c r="P3" s="3"/>
    </row>
    <row r="4" customFormat="false" ht="15" hidden="false" customHeight="tru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customFormat="false" ht="15" hidden="false" customHeight="true" outlineLevel="0" collapsed="false">
      <c r="A5" s="3"/>
      <c r="B5" s="5" t="s">
        <v>2</v>
      </c>
      <c r="C5" s="5"/>
      <c r="D5" s="5"/>
      <c r="E5" s="5"/>
      <c r="F5" s="5"/>
      <c r="G5" s="3"/>
      <c r="H5" s="3"/>
      <c r="I5" s="3"/>
      <c r="J5" s="3"/>
      <c r="K5" s="3"/>
      <c r="L5" s="3"/>
      <c r="M5" s="3"/>
      <c r="N5" s="3"/>
      <c r="O5" s="3"/>
      <c r="P5" s="3"/>
    </row>
    <row r="6" customFormat="false" ht="15" hidden="false" customHeight="true" outlineLevel="0" collapsed="false">
      <c r="A6" s="3"/>
      <c r="B6" s="6" t="s">
        <v>3</v>
      </c>
      <c r="C6" s="6" t="s">
        <v>4</v>
      </c>
      <c r="D6" s="6" t="s">
        <v>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customFormat="false" ht="15" hidden="false" customHeight="true" outlineLevel="0" collapsed="false">
      <c r="A7" s="3"/>
      <c r="B7" s="7" t="s">
        <v>6</v>
      </c>
      <c r="C7" s="7" t="s">
        <v>7</v>
      </c>
      <c r="D7" s="7" t="s">
        <v>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customFormat="false" ht="23.25" hidden="false" customHeight="true" outlineLevel="0" collapsed="false">
      <c r="A8" s="3"/>
      <c r="B8" s="7" t="s">
        <v>9</v>
      </c>
      <c r="C8" s="7" t="s">
        <v>10</v>
      </c>
      <c r="D8" s="7" t="s">
        <v>11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customFormat="false" ht="15" hidden="false" customHeight="true" outlineLevel="0" collapsed="false">
      <c r="A9" s="3"/>
      <c r="B9" s="7" t="s">
        <v>12</v>
      </c>
      <c r="C9" s="7" t="s">
        <v>13</v>
      </c>
      <c r="D9" s="7" t="s">
        <v>14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customFormat="false" ht="15" hidden="false" customHeight="true" outlineLevel="0" collapsed="false">
      <c r="A10" s="3"/>
      <c r="B10" s="7" t="s">
        <v>15</v>
      </c>
      <c r="C10" s="7" t="s">
        <v>16</v>
      </c>
      <c r="D10" s="7" t="s">
        <v>17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customFormat="false" ht="15" hidden="false" customHeight="true" outlineLevel="0" collapsed="false">
      <c r="A11" s="3"/>
      <c r="B11" s="7" t="s">
        <v>18</v>
      </c>
      <c r="C11" s="7" t="s">
        <v>19</v>
      </c>
      <c r="D11" s="7" t="s">
        <v>20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customFormat="false" ht="15" hidden="false" customHeight="true" outlineLevel="0" collapsed="false">
      <c r="A12" s="3"/>
      <c r="B12" s="7" t="s">
        <v>21</v>
      </c>
      <c r="C12" s="7" t="s">
        <v>22</v>
      </c>
      <c r="D12" s="7" t="s">
        <v>23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customFormat="false" ht="15" hidden="false" customHeight="true" outlineLevel="0" collapsed="false">
      <c r="A13" s="3"/>
      <c r="B13" s="7" t="s">
        <v>24</v>
      </c>
      <c r="C13" s="7" t="s">
        <v>25</v>
      </c>
      <c r="D13" s="7" t="s">
        <v>26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customFormat="false" ht="15" hidden="false" customHeight="true" outlineLevel="0" collapsed="false">
      <c r="A14" s="3"/>
      <c r="B14" s="7" t="s">
        <v>27</v>
      </c>
      <c r="C14" s="8" t="n">
        <v>46174</v>
      </c>
      <c r="D14" s="7" t="s">
        <v>28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customFormat="false" ht="15" hidden="false" customHeight="true" outlineLevel="0" collapsed="false">
      <c r="A15" s="3"/>
      <c r="B15" s="7" t="s">
        <v>29</v>
      </c>
      <c r="C15" s="8" t="n">
        <v>46203</v>
      </c>
      <c r="D15" s="7" t="s">
        <v>28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customFormat="false" ht="15" hidden="false" customHeight="true" outlineLevel="0" collapsed="false">
      <c r="A16" s="3"/>
      <c r="B16" s="7" t="s">
        <v>30</v>
      </c>
      <c r="C16" s="8" t="n">
        <v>46143</v>
      </c>
      <c r="D16" s="7" t="s">
        <v>28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customFormat="false" ht="15" hidden="false" customHeight="true" outlineLevel="0" collapsed="false">
      <c r="A17" s="3"/>
      <c r="B17" s="7" t="s">
        <v>31</v>
      </c>
      <c r="C17" s="8" t="n">
        <v>46173</v>
      </c>
      <c r="D17" s="7" t="s">
        <v>28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customFormat="false" ht="15" hidden="false" customHeight="true" outlineLevel="0" collapsed="false">
      <c r="A18" s="3"/>
      <c r="B18" s="7" t="s">
        <v>32</v>
      </c>
      <c r="C18" s="8" t="n">
        <v>45809</v>
      </c>
      <c r="D18" s="7" t="s">
        <v>33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customFormat="false" ht="15" hidden="false" customHeight="true" outlineLevel="0" collapsed="false">
      <c r="A19" s="3"/>
      <c r="B19" s="7" t="s">
        <v>34</v>
      </c>
      <c r="C19" s="8" t="n">
        <v>45838</v>
      </c>
      <c r="D19" s="7" t="s">
        <v>33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customFormat="false" ht="23.25" hidden="false" customHeight="true" outlineLevel="0" collapsed="false">
      <c r="A20" s="3"/>
      <c r="B20" s="7" t="s">
        <v>35</v>
      </c>
      <c r="C20" s="7" t="s">
        <v>36</v>
      </c>
      <c r="D20" s="7" t="s">
        <v>37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customFormat="false" ht="15.75" hidden="false" customHeight="true" outlineLevel="0" collapsed="false">
      <c r="A21" s="3"/>
      <c r="B21" s="7" t="s">
        <v>38</v>
      </c>
      <c r="C21" s="7" t="s">
        <v>39</v>
      </c>
      <c r="D21" s="7" t="s">
        <v>40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customFormat="false" ht="15.7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customFormat="false" ht="15.75" hidden="false" customHeight="true" outlineLevel="0" collapsed="false">
      <c r="A23" s="3"/>
      <c r="B23" s="5" t="s">
        <v>41</v>
      </c>
      <c r="C23" s="5"/>
      <c r="D23" s="5"/>
      <c r="E23" s="5"/>
      <c r="F23" s="5"/>
      <c r="G23" s="5"/>
      <c r="H23" s="3"/>
      <c r="I23" s="3"/>
      <c r="J23" s="3"/>
      <c r="K23" s="3"/>
      <c r="L23" s="3"/>
      <c r="M23" s="3"/>
      <c r="N23" s="3"/>
      <c r="O23" s="3"/>
      <c r="P23" s="3"/>
    </row>
    <row r="24" customFormat="false" ht="15.75" hidden="false" customHeight="true" outlineLevel="0" collapsed="false">
      <c r="A24" s="3"/>
      <c r="B24" s="6" t="s">
        <v>42</v>
      </c>
      <c r="C24" s="6" t="s">
        <v>43</v>
      </c>
      <c r="D24" s="6" t="s">
        <v>44</v>
      </c>
      <c r="E24" s="6" t="s">
        <v>45</v>
      </c>
      <c r="F24" s="6" t="s">
        <v>46</v>
      </c>
      <c r="G24" s="6" t="s">
        <v>47</v>
      </c>
      <c r="H24" s="3"/>
      <c r="I24" s="3"/>
      <c r="J24" s="3"/>
      <c r="K24" s="3"/>
      <c r="L24" s="3"/>
      <c r="M24" s="3"/>
      <c r="N24" s="3"/>
      <c r="O24" s="3"/>
      <c r="P24" s="3"/>
    </row>
    <row r="25" customFormat="false" ht="15.75" hidden="false" customHeight="true" outlineLevel="0" collapsed="false">
      <c r="A25" s="3"/>
      <c r="B25" s="7" t="s">
        <v>48</v>
      </c>
      <c r="C25" s="7" t="n">
        <v>35</v>
      </c>
      <c r="D25" s="7" t="n">
        <v>150</v>
      </c>
      <c r="E25" s="7" t="n">
        <v>450</v>
      </c>
      <c r="F25" s="7" t="s">
        <v>49</v>
      </c>
      <c r="G25" s="7" t="s">
        <v>50</v>
      </c>
      <c r="H25" s="3"/>
      <c r="I25" s="3"/>
      <c r="J25" s="3"/>
      <c r="K25" s="3"/>
      <c r="L25" s="3"/>
      <c r="M25" s="3"/>
      <c r="N25" s="3"/>
      <c r="O25" s="3"/>
      <c r="P25" s="3"/>
    </row>
    <row r="26" customFormat="false" ht="15.75" hidden="false" customHeight="true" outlineLevel="0" collapsed="false">
      <c r="A26" s="3"/>
      <c r="B26" s="7" t="s">
        <v>51</v>
      </c>
      <c r="C26" s="7" t="n">
        <v>24</v>
      </c>
      <c r="D26" s="7" t="n">
        <v>105</v>
      </c>
      <c r="E26" s="7" t="n">
        <v>315</v>
      </c>
      <c r="F26" s="7" t="s">
        <v>49</v>
      </c>
      <c r="G26" s="9" t="s">
        <v>50</v>
      </c>
      <c r="H26" s="3"/>
      <c r="I26" s="3"/>
      <c r="J26" s="3"/>
      <c r="K26" s="3"/>
      <c r="L26" s="3"/>
      <c r="M26" s="3"/>
      <c r="N26" s="3"/>
      <c r="O26" s="3"/>
      <c r="P26" s="3"/>
    </row>
    <row r="27" customFormat="false" ht="15.75" hidden="false" customHeight="true" outlineLevel="0" collapsed="false">
      <c r="A27" s="3"/>
      <c r="B27" s="7" t="s">
        <v>52</v>
      </c>
      <c r="C27" s="7" t="n">
        <v>4200</v>
      </c>
      <c r="D27" s="7" t="n">
        <v>18000</v>
      </c>
      <c r="E27" s="7" t="n">
        <v>54000</v>
      </c>
      <c r="F27" s="7" t="s">
        <v>49</v>
      </c>
      <c r="G27" s="7" t="s">
        <v>50</v>
      </c>
      <c r="H27" s="3"/>
      <c r="I27" s="3"/>
      <c r="J27" s="3"/>
      <c r="K27" s="3"/>
      <c r="L27" s="3"/>
      <c r="M27" s="3"/>
      <c r="N27" s="3"/>
      <c r="O27" s="3"/>
      <c r="P27" s="3"/>
    </row>
    <row r="28" customFormat="false" ht="15.75" hidden="false" customHeight="true" outlineLevel="0" collapsed="false">
      <c r="A28" s="3"/>
      <c r="B28" s="7" t="s">
        <v>53</v>
      </c>
      <c r="C28" s="7" t="n">
        <v>2300</v>
      </c>
      <c r="D28" s="7" t="n">
        <v>9500</v>
      </c>
      <c r="E28" s="7" t="n">
        <v>28500</v>
      </c>
      <c r="F28" s="7" t="s">
        <v>49</v>
      </c>
      <c r="G28" s="7" t="s">
        <v>50</v>
      </c>
      <c r="H28" s="3"/>
      <c r="I28" s="3"/>
      <c r="J28" s="3"/>
      <c r="K28" s="3"/>
      <c r="L28" s="3"/>
      <c r="M28" s="3"/>
      <c r="N28" s="3"/>
      <c r="O28" s="3"/>
      <c r="P28" s="3"/>
    </row>
    <row r="29" customFormat="false" ht="15.75" hidden="false" customHeight="true" outlineLevel="0" collapsed="false">
      <c r="A29" s="3"/>
      <c r="B29" s="7" t="s">
        <v>54</v>
      </c>
      <c r="C29" s="10" t="s">
        <v>55</v>
      </c>
      <c r="D29" s="10" t="s">
        <v>56</v>
      </c>
      <c r="E29" s="10" t="s">
        <v>57</v>
      </c>
      <c r="F29" s="7" t="s">
        <v>49</v>
      </c>
      <c r="G29" s="7" t="s">
        <v>50</v>
      </c>
      <c r="H29" s="3"/>
      <c r="I29" s="3"/>
      <c r="J29" s="3"/>
      <c r="K29" s="3"/>
      <c r="L29" s="3"/>
      <c r="M29" s="3"/>
      <c r="N29" s="3"/>
      <c r="O29" s="3"/>
      <c r="P29" s="3"/>
    </row>
    <row r="30" customFormat="false" ht="15.75" hidden="false" customHeight="true" outlineLevel="0" collapsed="false">
      <c r="A30" s="3"/>
      <c r="B30" s="7" t="s">
        <v>58</v>
      </c>
      <c r="C30" s="10" t="s">
        <v>59</v>
      </c>
      <c r="D30" s="10" t="s">
        <v>60</v>
      </c>
      <c r="E30" s="10" t="s">
        <v>61</v>
      </c>
      <c r="F30" s="7" t="s">
        <v>49</v>
      </c>
      <c r="G30" s="7" t="s">
        <v>50</v>
      </c>
      <c r="H30" s="3"/>
      <c r="I30" s="3"/>
      <c r="J30" s="3"/>
      <c r="K30" s="3"/>
      <c r="L30" s="3"/>
      <c r="M30" s="3"/>
      <c r="N30" s="3"/>
      <c r="O30" s="3"/>
      <c r="P30" s="3"/>
    </row>
    <row r="31" customFormat="false" ht="15.75" hidden="false" customHeight="true" outlineLevel="0" collapsed="false">
      <c r="A31" s="3"/>
      <c r="B31" s="7" t="s">
        <v>62</v>
      </c>
      <c r="C31" s="10" t="s">
        <v>63</v>
      </c>
      <c r="D31" s="10" t="s">
        <v>64</v>
      </c>
      <c r="E31" s="10" t="s">
        <v>65</v>
      </c>
      <c r="F31" s="7" t="s">
        <v>49</v>
      </c>
      <c r="G31" s="7" t="s">
        <v>50</v>
      </c>
      <c r="H31" s="3"/>
      <c r="I31" s="3"/>
      <c r="J31" s="3"/>
      <c r="K31" s="3"/>
      <c r="L31" s="3"/>
      <c r="M31" s="3"/>
      <c r="N31" s="3"/>
      <c r="O31" s="3"/>
      <c r="P31" s="3"/>
    </row>
    <row r="32" customFormat="false" ht="15.75" hidden="false" customHeight="true" outlineLevel="0" collapsed="false">
      <c r="A32" s="3"/>
      <c r="B32" s="7" t="s">
        <v>66</v>
      </c>
      <c r="C32" s="10" t="s">
        <v>67</v>
      </c>
      <c r="D32" s="10" t="s">
        <v>68</v>
      </c>
      <c r="E32" s="10" t="s">
        <v>69</v>
      </c>
      <c r="F32" s="7" t="s">
        <v>49</v>
      </c>
      <c r="G32" s="7" t="s">
        <v>50</v>
      </c>
      <c r="H32" s="3"/>
      <c r="I32" s="3"/>
      <c r="J32" s="3"/>
      <c r="K32" s="3"/>
      <c r="L32" s="3"/>
      <c r="M32" s="3"/>
      <c r="N32" s="3"/>
      <c r="O32" s="3"/>
      <c r="P32" s="3"/>
    </row>
    <row r="33" customFormat="false" ht="15.75" hidden="false" customHeight="true" outlineLevel="0" collapsed="false">
      <c r="A33" s="3"/>
      <c r="B33" s="7" t="s">
        <v>70</v>
      </c>
      <c r="C33" s="10" t="s">
        <v>71</v>
      </c>
      <c r="D33" s="10" t="s">
        <v>72</v>
      </c>
      <c r="E33" s="10" t="s">
        <v>67</v>
      </c>
      <c r="F33" s="7" t="s">
        <v>49</v>
      </c>
      <c r="G33" s="7" t="s">
        <v>50</v>
      </c>
      <c r="H33" s="3"/>
      <c r="I33" s="3"/>
      <c r="J33" s="3"/>
      <c r="K33" s="3"/>
      <c r="L33" s="3"/>
      <c r="M33" s="3"/>
      <c r="N33" s="3"/>
      <c r="O33" s="3"/>
      <c r="P33" s="3"/>
    </row>
    <row r="34" customFormat="false" ht="15.75" hidden="false" customHeight="true" outlineLevel="0" collapsed="false">
      <c r="A34" s="3"/>
      <c r="B34" s="7" t="s">
        <v>73</v>
      </c>
      <c r="C34" s="10" t="s">
        <v>74</v>
      </c>
      <c r="D34" s="10" t="s">
        <v>75</v>
      </c>
      <c r="E34" s="10" t="s">
        <v>76</v>
      </c>
      <c r="F34" s="7" t="s">
        <v>77</v>
      </c>
      <c r="G34" s="7" t="s">
        <v>50</v>
      </c>
      <c r="H34" s="3"/>
      <c r="I34" s="3"/>
      <c r="J34" s="3"/>
      <c r="K34" s="3"/>
      <c r="L34" s="3"/>
      <c r="M34" s="3"/>
      <c r="N34" s="3"/>
      <c r="O34" s="3"/>
      <c r="P34" s="3"/>
    </row>
    <row r="35" customFormat="false" ht="15.7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customFormat="false" ht="15.75" hidden="false" customHeight="true" outlineLevel="0" collapsed="false">
      <c r="A36" s="3"/>
      <c r="B36" s="5" t="s">
        <v>78</v>
      </c>
      <c r="C36" s="5"/>
      <c r="D36" s="5"/>
      <c r="E36" s="5"/>
      <c r="F36" s="5"/>
      <c r="G36" s="5"/>
      <c r="H36" s="3"/>
      <c r="I36" s="3"/>
      <c r="J36" s="3"/>
      <c r="K36" s="3"/>
      <c r="L36" s="3"/>
      <c r="M36" s="3"/>
      <c r="N36" s="3"/>
      <c r="O36" s="3"/>
      <c r="P36" s="3"/>
    </row>
    <row r="37" customFormat="false" ht="15.75" hidden="false" customHeight="true" outlineLevel="0" collapsed="false">
      <c r="A37" s="3"/>
      <c r="B37" s="6" t="s">
        <v>79</v>
      </c>
      <c r="C37" s="6" t="s">
        <v>80</v>
      </c>
      <c r="D37" s="6" t="s">
        <v>81</v>
      </c>
      <c r="E37" s="6" t="s">
        <v>82</v>
      </c>
      <c r="F37" s="6" t="s">
        <v>83</v>
      </c>
      <c r="G37" s="3"/>
      <c r="H37" s="3"/>
      <c r="I37" s="3"/>
      <c r="J37" s="3"/>
      <c r="K37" s="3"/>
      <c r="L37" s="3"/>
      <c r="M37" s="3"/>
      <c r="N37" s="3"/>
      <c r="O37" s="3"/>
      <c r="P37" s="3"/>
    </row>
    <row r="38" customFormat="false" ht="15.75" hidden="false" customHeight="true" outlineLevel="0" collapsed="false">
      <c r="A38" s="3"/>
      <c r="B38" s="7" t="s">
        <v>84</v>
      </c>
      <c r="C38" s="7" t="s">
        <v>85</v>
      </c>
      <c r="D38" s="7" t="s">
        <v>86</v>
      </c>
      <c r="E38" s="7" t="s">
        <v>87</v>
      </c>
      <c r="F38" s="7" t="s">
        <v>88</v>
      </c>
      <c r="G38" s="3"/>
      <c r="H38" s="3"/>
      <c r="I38" s="3"/>
      <c r="J38" s="3"/>
      <c r="K38" s="3"/>
      <c r="L38" s="3"/>
      <c r="M38" s="3"/>
      <c r="N38" s="3"/>
      <c r="O38" s="3"/>
      <c r="P38" s="3"/>
    </row>
    <row r="39" customFormat="false" ht="15.75" hidden="false" customHeight="true" outlineLevel="0" collapsed="false">
      <c r="A39" s="3"/>
      <c r="B39" s="7" t="s">
        <v>89</v>
      </c>
      <c r="C39" s="7" t="s">
        <v>90</v>
      </c>
      <c r="D39" s="7" t="s">
        <v>91</v>
      </c>
      <c r="E39" s="7" t="s">
        <v>92</v>
      </c>
      <c r="F39" s="7" t="s">
        <v>93</v>
      </c>
      <c r="G39" s="3"/>
      <c r="H39" s="3"/>
      <c r="I39" s="3"/>
      <c r="J39" s="3"/>
      <c r="K39" s="3"/>
      <c r="L39" s="3"/>
      <c r="M39" s="3"/>
      <c r="N39" s="3"/>
      <c r="O39" s="3"/>
      <c r="P39" s="3"/>
    </row>
    <row r="40" customFormat="false" ht="15.75" hidden="false" customHeight="true" outlineLevel="0" collapsed="false">
      <c r="A40" s="3"/>
      <c r="B40" s="7" t="s">
        <v>94</v>
      </c>
      <c r="C40" s="7" t="s">
        <v>95</v>
      </c>
      <c r="D40" s="7" t="s">
        <v>96</v>
      </c>
      <c r="E40" s="7" t="s">
        <v>97</v>
      </c>
      <c r="F40" s="7" t="s">
        <v>98</v>
      </c>
      <c r="G40" s="3"/>
      <c r="H40" s="3"/>
      <c r="I40" s="3"/>
      <c r="J40" s="3"/>
      <c r="K40" s="3"/>
      <c r="L40" s="3"/>
      <c r="M40" s="3"/>
      <c r="N40" s="3"/>
      <c r="O40" s="3"/>
      <c r="P40" s="3"/>
    </row>
    <row r="41" customFormat="false" ht="15.75" hidden="false" customHeight="true" outlineLevel="0" collapsed="false">
      <c r="A41" s="3"/>
      <c r="B41" s="7" t="s">
        <v>99</v>
      </c>
      <c r="C41" s="7" t="s">
        <v>100</v>
      </c>
      <c r="D41" s="7" t="s">
        <v>101</v>
      </c>
      <c r="E41" s="7" t="s">
        <v>102</v>
      </c>
      <c r="F41" s="7" t="s">
        <v>103</v>
      </c>
      <c r="G41" s="3"/>
      <c r="H41" s="3"/>
      <c r="I41" s="3"/>
      <c r="J41" s="3"/>
      <c r="K41" s="3"/>
      <c r="L41" s="3"/>
      <c r="M41" s="3"/>
      <c r="N41" s="3"/>
      <c r="O41" s="3"/>
      <c r="P41" s="3"/>
    </row>
    <row r="42" customFormat="false" ht="15.75" hidden="false" customHeight="true" outlineLevel="0" collapsed="false">
      <c r="A42" s="3"/>
      <c r="B42" s="7" t="s">
        <v>104</v>
      </c>
      <c r="C42" s="7"/>
      <c r="D42" s="7" t="s">
        <v>105</v>
      </c>
      <c r="E42" s="7" t="s">
        <v>106</v>
      </c>
      <c r="F42" s="7" t="s">
        <v>107</v>
      </c>
      <c r="G42" s="3"/>
      <c r="H42" s="3"/>
      <c r="I42" s="3"/>
      <c r="J42" s="3"/>
      <c r="K42" s="3"/>
      <c r="L42" s="3"/>
      <c r="M42" s="3"/>
      <c r="N42" s="3"/>
      <c r="O42" s="3"/>
      <c r="P42" s="3"/>
    </row>
    <row r="43" customFormat="false" ht="15.75" hidden="false" customHeight="true" outlineLevel="0" collapsed="false">
      <c r="A43" s="3"/>
      <c r="B43" s="7" t="s">
        <v>108</v>
      </c>
      <c r="C43" s="7"/>
      <c r="D43" s="7" t="s">
        <v>109</v>
      </c>
      <c r="E43" s="7" t="s">
        <v>110</v>
      </c>
      <c r="F43" s="7" t="s">
        <v>111</v>
      </c>
      <c r="G43" s="3"/>
      <c r="H43" s="3"/>
      <c r="I43" s="3"/>
      <c r="J43" s="3"/>
      <c r="K43" s="3"/>
      <c r="L43" s="3"/>
      <c r="M43" s="3"/>
      <c r="N43" s="3"/>
      <c r="O43" s="3"/>
      <c r="P43" s="3"/>
    </row>
    <row r="44" customFormat="false" ht="15.7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customFormat="false" ht="15.75" hidden="false" customHeight="true" outlineLevel="0" collapsed="false">
      <c r="A45" s="3"/>
      <c r="B45" s="11" t="s">
        <v>112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customFormat="false" ht="15.75" hidden="false" customHeight="true" outlineLevel="0" collapsed="false">
      <c r="A46" s="3"/>
      <c r="B46" s="12" t="s">
        <v>3</v>
      </c>
      <c r="C46" s="12" t="s">
        <v>4</v>
      </c>
      <c r="D46" s="12" t="s">
        <v>5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customFormat="false" ht="15.75" hidden="false" customHeight="true" outlineLevel="0" collapsed="false">
      <c r="A47" s="3"/>
      <c r="B47" s="13" t="s">
        <v>113</v>
      </c>
      <c r="C47" s="14" t="n">
        <v>60000</v>
      </c>
      <c r="D47" s="15" t="s">
        <v>114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customFormat="false" ht="15.75" hidden="false" customHeight="true" outlineLevel="0" collapsed="false">
      <c r="A48" s="3"/>
      <c r="B48" s="13" t="s">
        <v>115</v>
      </c>
      <c r="C48" s="14" t="n">
        <v>45</v>
      </c>
      <c r="D48" s="15" t="s">
        <v>116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customFormat="false" ht="15.75" hidden="false" customHeight="true" outlineLevel="0" collapsed="false">
      <c r="A49" s="3"/>
      <c r="B49" s="13" t="s">
        <v>117</v>
      </c>
      <c r="C49" s="16" t="n">
        <f aca="false">08_AI_Input!B24/08_AI_Input!B14</f>
        <v>12647.9264705882</v>
      </c>
      <c r="D49" s="15" t="s">
        <v>118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 customFormat="false" ht="15.7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customFormat="false" ht="15.75" hidden="false" customHeight="true" outlineLevel="0" collapsed="false">
      <c r="A51" s="3"/>
      <c r="B51" s="11" t="s">
        <v>119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customFormat="false" ht="45" hidden="false" customHeight="true" outlineLevel="0" collapsed="false">
      <c r="A52" s="3"/>
      <c r="B52" s="17" t="s">
        <v>120</v>
      </c>
      <c r="C52" s="17"/>
      <c r="D52" s="17"/>
      <c r="E52" s="17"/>
      <c r="F52" s="17"/>
      <c r="G52" s="17"/>
      <c r="H52" s="3"/>
      <c r="I52" s="3"/>
      <c r="J52" s="3"/>
      <c r="K52" s="3"/>
      <c r="L52" s="3"/>
      <c r="M52" s="3"/>
      <c r="N52" s="3"/>
      <c r="O52" s="3"/>
      <c r="P52" s="3"/>
    </row>
    <row r="53" customFormat="false" ht="15.75" hidden="false" customHeight="true" outlineLevel="0" collapsed="false">
      <c r="A53" s="3"/>
      <c r="B53" s="12" t="s">
        <v>42</v>
      </c>
      <c r="C53" s="12" t="s">
        <v>121</v>
      </c>
      <c r="D53" s="12" t="s">
        <v>122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customFormat="false" ht="15.75" hidden="false" customHeight="true" outlineLevel="0" collapsed="false">
      <c r="A54" s="3"/>
      <c r="B54" s="13" t="s">
        <v>123</v>
      </c>
      <c r="C54" s="18" t="n">
        <v>0.34</v>
      </c>
      <c r="D54" s="18" t="n">
        <v>0.45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customFormat="false" ht="15.7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customFormat="false" ht="15.75" hidden="false" customHeight="true" outlineLevel="0" collapsed="false">
      <c r="A56" s="3"/>
      <c r="B56" s="11" t="s">
        <v>124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customFormat="false" ht="45" hidden="false" customHeight="true" outlineLevel="0" collapsed="false">
      <c r="A57" s="3"/>
      <c r="B57" s="19" t="s">
        <v>125</v>
      </c>
      <c r="C57" s="19"/>
      <c r="D57" s="19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customFormat="false" ht="15.75" hidden="false" customHeight="true" outlineLevel="0" collapsed="false">
      <c r="A58" s="3"/>
      <c r="B58" s="12" t="s">
        <v>126</v>
      </c>
      <c r="C58" s="12" t="s">
        <v>127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customFormat="false" ht="15.75" hidden="false" customHeight="true" outlineLevel="0" collapsed="false">
      <c r="A59" s="3"/>
      <c r="B59" s="13" t="n">
        <v>1</v>
      </c>
      <c r="C59" s="20" t="n">
        <v>0.276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customFormat="false" ht="15.75" hidden="false" customHeight="true" outlineLevel="0" collapsed="false">
      <c r="A60" s="3"/>
      <c r="B60" s="13" t="n">
        <v>2</v>
      </c>
      <c r="C60" s="20" t="n">
        <v>0.158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 customFormat="false" ht="15.75" hidden="false" customHeight="true" outlineLevel="0" collapsed="false">
      <c r="A61" s="3"/>
      <c r="B61" s="13" t="n">
        <v>3</v>
      </c>
      <c r="C61" s="20" t="n">
        <v>0.11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customFormat="false" ht="15.75" hidden="false" customHeight="true" outlineLevel="0" collapsed="false">
      <c r="A62" s="3"/>
      <c r="B62" s="13" t="n">
        <v>4</v>
      </c>
      <c r="C62" s="20" t="n">
        <v>0.084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 customFormat="false" ht="15.75" hidden="false" customHeight="true" outlineLevel="0" collapsed="false">
      <c r="A63" s="3"/>
      <c r="B63" s="13" t="n">
        <v>5</v>
      </c>
      <c r="C63" s="20" t="n">
        <v>0.065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 customFormat="false" ht="15.75" hidden="false" customHeight="true" outlineLevel="0" collapsed="false">
      <c r="A64" s="3"/>
      <c r="B64" s="13" t="n">
        <v>6</v>
      </c>
      <c r="C64" s="20" t="n">
        <v>0.052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</row>
    <row r="65" customFormat="false" ht="15.75" hidden="false" customHeight="true" outlineLevel="0" collapsed="false">
      <c r="A65" s="3"/>
      <c r="B65" s="13" t="n">
        <v>7</v>
      </c>
      <c r="C65" s="20" t="n">
        <v>0.043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customFormat="false" ht="15.75" hidden="false" customHeight="true" outlineLevel="0" collapsed="false">
      <c r="A66" s="3"/>
      <c r="B66" s="13" t="n">
        <v>8</v>
      </c>
      <c r="C66" s="20" t="n">
        <v>0.036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 customFormat="false" ht="15.75" hidden="false" customHeight="true" outlineLevel="0" collapsed="false">
      <c r="A67" s="3"/>
      <c r="B67" s="13" t="n">
        <v>9</v>
      </c>
      <c r="C67" s="20" t="n">
        <v>0.031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customFormat="false" ht="15.75" hidden="false" customHeight="true" outlineLevel="0" collapsed="false">
      <c r="A68" s="3"/>
      <c r="B68" s="13" t="n">
        <v>10</v>
      </c>
      <c r="C68" s="20" t="n">
        <v>0.027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</row>
    <row r="69" customFormat="false" ht="15.75" hidden="false" customHeight="true" outlineLevel="0" collapsed="false">
      <c r="A69" s="3"/>
      <c r="B69" s="13" t="n">
        <v>11</v>
      </c>
      <c r="C69" s="20" t="n">
        <v>0.024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customFormat="false" ht="15.75" hidden="false" customHeight="true" outlineLevel="0" collapsed="false">
      <c r="A70" s="3"/>
      <c r="B70" s="13" t="n">
        <v>12</v>
      </c>
      <c r="C70" s="20" t="n">
        <v>0.021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customFormat="false" ht="15.75" hidden="false" customHeight="true" outlineLevel="0" collapsed="false">
      <c r="A71" s="3"/>
      <c r="B71" s="13" t="n">
        <v>13</v>
      </c>
      <c r="C71" s="20" t="n">
        <v>0.019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customFormat="false" ht="15.75" hidden="false" customHeight="true" outlineLevel="0" collapsed="false">
      <c r="A72" s="3"/>
      <c r="B72" s="13" t="n">
        <v>14</v>
      </c>
      <c r="C72" s="20" t="n">
        <v>0.017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customFormat="false" ht="15.75" hidden="false" customHeight="true" outlineLevel="0" collapsed="false">
      <c r="A73" s="3"/>
      <c r="B73" s="13" t="n">
        <v>15</v>
      </c>
      <c r="C73" s="20" t="n">
        <v>0.015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</row>
    <row r="74" customFormat="false" ht="15.75" hidden="false" customHeight="true" outlineLevel="0" collapsed="false">
      <c r="A74" s="3"/>
      <c r="B74" s="13" t="n">
        <v>16</v>
      </c>
      <c r="C74" s="20" t="n">
        <v>0.014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 customFormat="false" ht="15.75" hidden="false" customHeight="true" outlineLevel="0" collapsed="false">
      <c r="A75" s="3"/>
      <c r="B75" s="13" t="n">
        <v>17</v>
      </c>
      <c r="C75" s="20" t="n">
        <v>0.013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</row>
    <row r="76" customFormat="false" ht="15.75" hidden="false" customHeight="true" outlineLevel="0" collapsed="false">
      <c r="A76" s="3"/>
      <c r="B76" s="13" t="n">
        <v>18</v>
      </c>
      <c r="C76" s="20" t="n">
        <v>0.012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</row>
    <row r="77" customFormat="false" ht="15.75" hidden="false" customHeight="true" outlineLevel="0" collapsed="false">
      <c r="A77" s="3"/>
      <c r="B77" s="13" t="n">
        <v>19</v>
      </c>
      <c r="C77" s="20" t="n">
        <v>0.011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</row>
    <row r="78" customFormat="false" ht="15.75" hidden="false" customHeight="true" outlineLevel="0" collapsed="false">
      <c r="A78" s="3"/>
      <c r="B78" s="13" t="n">
        <v>20</v>
      </c>
      <c r="C78" s="20" t="n">
        <v>0.01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customFormat="false" ht="15.75" hidden="false" customHeight="true" outlineLevel="0" collapsed="false">
      <c r="A79" s="3"/>
      <c r="B79" s="13" t="s">
        <v>128</v>
      </c>
      <c r="C79" s="20" t="n">
        <v>0.005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</row>
    <row r="80" customFormat="false" ht="15.7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</row>
    <row r="81" customFormat="false" ht="15.75" hidden="false" customHeight="true" outlineLevel="0" collapsed="false">
      <c r="A81" s="3"/>
      <c r="B81" s="11" t="s">
        <v>129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customFormat="false" ht="15.75" hidden="false" customHeight="true" outlineLevel="0" collapsed="false">
      <c r="A82" s="3"/>
      <c r="B82" s="15" t="s">
        <v>130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customFormat="false" ht="15.75" hidden="false" customHeight="true" outlineLevel="0" collapsed="false">
      <c r="A83" s="3"/>
      <c r="B83" s="12" t="s">
        <v>131</v>
      </c>
      <c r="C83" s="12" t="s">
        <v>132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</row>
    <row r="84" customFormat="false" ht="15.75" hidden="false" customHeight="true" outlineLevel="0" collapsed="false">
      <c r="A84" s="3"/>
      <c r="B84" s="13" t="s">
        <v>133</v>
      </c>
      <c r="C84" s="13" t="n">
        <v>0.5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</row>
    <row r="85" customFormat="false" ht="15.75" hidden="false" customHeight="true" outlineLevel="0" collapsed="false">
      <c r="A85" s="3"/>
      <c r="B85" s="13" t="s">
        <v>134</v>
      </c>
      <c r="C85" s="13" t="n">
        <v>1.5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customFormat="false" ht="15.75" hidden="false" customHeight="true" outlineLevel="0" collapsed="false">
      <c r="A86" s="3"/>
      <c r="B86" s="13" t="s">
        <v>135</v>
      </c>
      <c r="C86" s="13" t="n">
        <v>1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</row>
    <row r="87" customFormat="false" ht="15.75" hidden="false" customHeight="true" outlineLevel="0" collapsed="false">
      <c r="A87" s="3"/>
      <c r="B87" s="13" t="s">
        <v>136</v>
      </c>
      <c r="C87" s="13" t="n">
        <v>0.4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</row>
    <row r="88" customFormat="false" ht="15.7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</row>
    <row r="89" customFormat="false" ht="15.75" hidden="false" customHeight="true" outlineLevel="0" collapsed="false">
      <c r="A89" s="3"/>
      <c r="B89" s="11" t="s">
        <v>137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</row>
    <row r="90" customFormat="false" ht="15.75" hidden="false" customHeight="true" outlineLevel="0" collapsed="false">
      <c r="A90" s="3"/>
      <c r="B90" s="12" t="s">
        <v>138</v>
      </c>
      <c r="C90" s="12" t="s">
        <v>4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customFormat="false" ht="15.75" hidden="false" customHeight="true" outlineLevel="0" collapsed="false">
      <c r="A91" s="3"/>
      <c r="B91" s="13" t="s">
        <v>139</v>
      </c>
      <c r="C91" s="18" t="n">
        <v>0.25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</row>
    <row r="92" customFormat="false" ht="15.75" hidden="false" customHeight="true" outlineLevel="0" collapsed="false">
      <c r="A92" s="3"/>
      <c r="B92" s="13" t="s">
        <v>140</v>
      </c>
      <c r="C92" s="18" t="n">
        <v>0.15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customFormat="false" ht="15.75" hidden="false" customHeight="true" outlineLevel="0" collapsed="false">
      <c r="A93" s="3"/>
      <c r="B93" s="13" t="s">
        <v>141</v>
      </c>
      <c r="C93" s="13" t="n">
        <v>365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</row>
    <row r="94" customFormat="false" ht="15.75" hidden="false" customHeight="true" outlineLevel="0" collapsed="false">
      <c r="A94" s="3"/>
      <c r="B94" s="13" t="s">
        <v>142</v>
      </c>
      <c r="C94" s="18" t="n">
        <v>-0.2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</row>
    <row r="95" customFormat="false" ht="15.75" hidden="false" customHeight="true" outlineLevel="0" collapsed="false">
      <c r="A95" s="3"/>
      <c r="B95" s="13" t="s">
        <v>143</v>
      </c>
      <c r="C95" s="13" t="n">
        <v>300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customFormat="false" ht="15.7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</row>
    <row r="97" customFormat="false" ht="15.7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</row>
    <row r="98" customFormat="false" ht="15.7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</row>
    <row r="99" customFormat="false" ht="15.7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</row>
    <row r="100" customFormat="false" ht="15.7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</row>
    <row r="101" customFormat="false" ht="15.7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</row>
    <row r="102" customFormat="false" ht="15.7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</row>
    <row r="103" customFormat="false" ht="15.7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</row>
    <row r="104" customFormat="false" ht="15.7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customFormat="false" ht="15.7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</row>
    <row r="106" customFormat="false" ht="15.7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</row>
    <row r="107" customFormat="false" ht="15.7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</row>
    <row r="108" customFormat="false" ht="15.7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</row>
    <row r="109" customFormat="false" ht="15.7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</row>
    <row r="110" customFormat="false" ht="15.7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</row>
    <row r="111" customFormat="false" ht="15.7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</row>
    <row r="112" customFormat="false" ht="15.7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</row>
    <row r="113" customFormat="false" ht="15.7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</row>
    <row r="114" customFormat="false" ht="15.7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</row>
    <row r="115" customFormat="false" ht="15.7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</row>
    <row r="116" customFormat="false" ht="15.7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</row>
    <row r="117" customFormat="false" ht="15.7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</row>
    <row r="118" customFormat="false" ht="15.7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</row>
    <row r="119" customFormat="false" ht="15.7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</row>
    <row r="120" customFormat="false" ht="15.7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</row>
    <row r="121" customFormat="false" ht="15.7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</row>
    <row r="122" customFormat="false" ht="15.7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</row>
    <row r="123" customFormat="false" ht="15.7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</row>
    <row r="124" customFormat="false" ht="15.7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</row>
    <row r="125" customFormat="false" ht="15.7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</row>
    <row r="126" customFormat="false" ht="15.7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</row>
    <row r="127" customFormat="false" ht="15.7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</row>
    <row r="128" customFormat="false" ht="15.7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</row>
    <row r="129" customFormat="false" ht="15.7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</row>
    <row r="130" customFormat="false" ht="15.7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</row>
    <row r="131" customFormat="false" ht="15.7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</row>
    <row r="132" customFormat="false" ht="15.7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</row>
    <row r="133" customFormat="false" ht="15.7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</row>
    <row r="134" customFormat="false" ht="15.7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</row>
    <row r="135" customFormat="false" ht="15.7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</row>
    <row r="136" customFormat="false" ht="15.7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</row>
    <row r="137" customFormat="false" ht="15.7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</row>
    <row r="138" customFormat="false" ht="15.7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</row>
    <row r="139" customFormat="false" ht="15.7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</row>
    <row r="140" customFormat="false" ht="15.7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</row>
    <row r="141" customFormat="false" ht="15.7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</row>
    <row r="142" customFormat="false" ht="15.7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</row>
    <row r="143" customFormat="false" ht="15.7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</row>
    <row r="144" customFormat="false" ht="15.7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</row>
    <row r="145" customFormat="false" ht="15.7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</row>
    <row r="146" customFormat="false" ht="15.7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</row>
    <row r="147" customFormat="false" ht="15.7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</row>
    <row r="148" customFormat="false" ht="15.7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</row>
    <row r="149" customFormat="false" ht="15.7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</row>
    <row r="150" customFormat="false" ht="15.7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</row>
    <row r="151" customFormat="false" ht="15.7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</row>
    <row r="152" customFormat="false" ht="15.7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</row>
    <row r="153" customFormat="false" ht="15.7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</row>
    <row r="154" customFormat="false" ht="15.7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</row>
    <row r="155" customFormat="false" ht="15.7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</row>
    <row r="156" customFormat="false" ht="15.7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</row>
    <row r="157" customFormat="false" ht="15.7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</row>
    <row r="158" customFormat="false" ht="15.7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</row>
    <row r="159" customFormat="false" ht="15.7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</row>
    <row r="160" customFormat="false" ht="15.7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</row>
    <row r="161" customFormat="false" ht="15.7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</row>
    <row r="162" customFormat="false" ht="15.7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</row>
    <row r="163" customFormat="false" ht="15.7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</row>
    <row r="164" customFormat="false" ht="15.7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</row>
    <row r="165" customFormat="false" ht="15.7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</row>
    <row r="166" customFormat="false" ht="15.7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</row>
    <row r="167" customFormat="false" ht="15.7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</row>
    <row r="168" customFormat="false" ht="15.7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</row>
    <row r="169" customFormat="false" ht="15.7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</row>
    <row r="170" customFormat="false" ht="15.7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</row>
    <row r="171" customFormat="false" ht="15.7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</row>
    <row r="172" customFormat="false" ht="15.7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</row>
    <row r="173" customFormat="false" ht="15.7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</row>
    <row r="174" customFormat="false" ht="15.7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</row>
    <row r="175" customFormat="false" ht="15.7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</row>
    <row r="176" customFormat="false" ht="15.7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</row>
    <row r="177" customFormat="false" ht="15.7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</row>
    <row r="178" customFormat="false" ht="15.7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</row>
    <row r="179" customFormat="false" ht="15.7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</row>
    <row r="180" customFormat="false" ht="15.7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</row>
    <row r="181" customFormat="false" ht="15.7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</row>
    <row r="182" customFormat="false" ht="15.7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</row>
    <row r="183" customFormat="false" ht="15.7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</row>
    <row r="184" customFormat="false" ht="15.7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</row>
    <row r="185" customFormat="false" ht="15.7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</row>
    <row r="186" customFormat="false" ht="15.7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</row>
    <row r="187" customFormat="false" ht="15.7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</row>
    <row r="188" customFormat="false" ht="15.7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</row>
    <row r="189" customFormat="false" ht="15.7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</row>
    <row r="190" customFormat="false" ht="15.7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</row>
    <row r="191" customFormat="false" ht="15.7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</row>
    <row r="192" customFormat="false" ht="15.7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</row>
    <row r="193" customFormat="false" ht="15.7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</row>
    <row r="194" customFormat="false" ht="15.7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</row>
    <row r="195" customFormat="false" ht="15.7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</row>
    <row r="196" customFormat="false" ht="15.7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</row>
    <row r="197" customFormat="false" ht="15.7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</row>
    <row r="198" customFormat="false" ht="15.7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</row>
    <row r="199" customFormat="false" ht="15.7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</row>
    <row r="200" customFormat="false" ht="15.7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</row>
    <row r="201" customFormat="false" ht="15.7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</row>
    <row r="202" customFormat="false" ht="15.7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</row>
    <row r="203" customFormat="false" ht="15.7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</row>
    <row r="204" customFormat="false" ht="15.7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</row>
    <row r="205" customFormat="false" ht="15.7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</row>
    <row r="206" customFormat="false" ht="15.7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</row>
    <row r="207" customFormat="false" ht="15.7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</row>
    <row r="208" customFormat="false" ht="15.7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</row>
    <row r="209" customFormat="false" ht="15.7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</row>
    <row r="210" customFormat="false" ht="15.7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</row>
    <row r="211" customFormat="false" ht="15.7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</row>
    <row r="212" customFormat="false" ht="15.7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</row>
    <row r="213" customFormat="false" ht="15.7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</row>
    <row r="214" customFormat="false" ht="15.7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</row>
    <row r="215" customFormat="false" ht="15.7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</row>
    <row r="216" customFormat="false" ht="15.7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</row>
    <row r="217" customFormat="false" ht="15.7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</row>
    <row r="218" customFormat="false" ht="15.7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</row>
    <row r="219" customFormat="false" ht="15.7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</row>
    <row r="220" customFormat="false" ht="15.7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</row>
    <row r="221" customFormat="false" ht="15.7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</row>
    <row r="222" customFormat="false" ht="15.7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</row>
    <row r="223" customFormat="false" ht="15.7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</row>
    <row r="224" customFormat="false" ht="15.7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</row>
    <row r="225" customFormat="false" ht="15.7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</row>
    <row r="226" customFormat="false" ht="15.7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</row>
    <row r="227" customFormat="false" ht="15.7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</row>
    <row r="228" customFormat="false" ht="15.7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</row>
    <row r="229" customFormat="false" ht="15.7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</row>
    <row r="230" customFormat="false" ht="15.7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</row>
    <row r="231" customFormat="false" ht="15.7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</row>
    <row r="232" customFormat="false" ht="15.7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</row>
    <row r="233" customFormat="false" ht="15.7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</row>
    <row r="234" customFormat="false" ht="15.7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</row>
    <row r="235" customFormat="false" ht="15.7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</row>
    <row r="236" customFormat="false" ht="15.7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</row>
    <row r="237" customFormat="false" ht="15.7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</row>
    <row r="238" customFormat="false" ht="15.7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</row>
    <row r="239" customFormat="false" ht="15.7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</row>
    <row r="240" customFormat="false" ht="15.7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</row>
    <row r="241" customFormat="false" ht="15.7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</row>
    <row r="242" customFormat="false" ht="15.7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</row>
    <row r="243" customFormat="false" ht="15.7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</row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7">
    <mergeCell ref="A1:J2"/>
    <mergeCell ref="A3:J3"/>
    <mergeCell ref="B5:F5"/>
    <mergeCell ref="B23:G23"/>
    <mergeCell ref="B36:G36"/>
    <mergeCell ref="B52:G52"/>
    <mergeCell ref="B57:D5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4"/>
    <col collapsed="false" customWidth="true" hidden="false" outlineLevel="0" max="3" min="3" style="1" width="18"/>
    <col collapsed="false" customWidth="true" hidden="false" outlineLevel="0" max="7" min="4" style="1" width="12"/>
    <col collapsed="false" customWidth="true" hidden="false" outlineLevel="0" max="9" min="8" style="1" width="10"/>
    <col collapsed="false" customWidth="true" hidden="false" outlineLevel="0" max="10" min="10" style="1" width="17"/>
    <col collapsed="false" customWidth="true" hidden="false" outlineLevel="0" max="12" min="11" style="1" width="18"/>
    <col collapsed="false" customWidth="true" hidden="false" outlineLevel="0" max="13" min="13" style="1" width="14"/>
    <col collapsed="false" customWidth="true" hidden="false" outlineLevel="0" max="26" min="14" style="1" width="8.63"/>
  </cols>
  <sheetData>
    <row r="1" customFormat="false" ht="15" hidden="false" customHeight="true" outlineLevel="0" collapsed="false">
      <c r="A1" s="2" t="s">
        <v>144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5" hidden="false" customHeight="true" outlineLevel="0" collapsed="false">
      <c r="A3" s="4" t="s">
        <v>145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customFormat="false" ht="15" hidden="false" customHeight="tru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customFormat="false" ht="23.25" hidden="false" customHeight="true" outlineLevel="0" collapsed="false">
      <c r="A5" s="21" t="s">
        <v>146</v>
      </c>
      <c r="B5" s="21" t="s">
        <v>147</v>
      </c>
      <c r="C5" s="21" t="s">
        <v>82</v>
      </c>
      <c r="D5" s="21" t="s">
        <v>148</v>
      </c>
      <c r="E5" s="21" t="s">
        <v>95</v>
      </c>
      <c r="F5" s="21" t="s">
        <v>149</v>
      </c>
      <c r="G5" s="21" t="s">
        <v>150</v>
      </c>
      <c r="H5" s="21" t="s">
        <v>151</v>
      </c>
      <c r="I5" s="21" t="s">
        <v>152</v>
      </c>
      <c r="J5" s="21" t="s">
        <v>153</v>
      </c>
      <c r="K5" s="21" t="s">
        <v>154</v>
      </c>
      <c r="L5" s="21" t="s">
        <v>155</v>
      </c>
      <c r="M5" s="21" t="s">
        <v>156</v>
      </c>
      <c r="N5" s="3"/>
      <c r="O5" s="3"/>
      <c r="P5" s="3"/>
    </row>
    <row r="6" customFormat="false" ht="15" hidden="false" customHeight="true" outlineLevel="0" collapsed="false">
      <c r="A6" s="8" t="n">
        <v>46143</v>
      </c>
      <c r="B6" s="7" t="s">
        <v>157</v>
      </c>
      <c r="C6" s="7" t="s">
        <v>92</v>
      </c>
      <c r="D6" s="7" t="s">
        <v>158</v>
      </c>
      <c r="E6" s="7" t="s">
        <v>159</v>
      </c>
      <c r="F6" s="7" t="s">
        <v>160</v>
      </c>
      <c r="G6" s="7" t="s">
        <v>39</v>
      </c>
      <c r="H6" s="7" t="n">
        <v>53</v>
      </c>
      <c r="I6" s="7" t="n">
        <v>65</v>
      </c>
      <c r="J6" s="7" t="n">
        <v>42</v>
      </c>
      <c r="K6" s="7" t="n">
        <v>100</v>
      </c>
      <c r="L6" s="7" t="n">
        <v>0</v>
      </c>
      <c r="M6" s="22" t="n">
        <v>0</v>
      </c>
      <c r="N6" s="3"/>
      <c r="O6" s="3"/>
      <c r="P6" s="3"/>
    </row>
    <row r="7" customFormat="false" ht="15" hidden="false" customHeight="true" outlineLevel="0" collapsed="false">
      <c r="A7" s="8" t="n">
        <v>46143</v>
      </c>
      <c r="B7" s="7" t="s">
        <v>161</v>
      </c>
      <c r="C7" s="7" t="s">
        <v>92</v>
      </c>
      <c r="D7" s="7" t="s">
        <v>158</v>
      </c>
      <c r="E7" s="7" t="s">
        <v>159</v>
      </c>
      <c r="F7" s="7" t="s">
        <v>160</v>
      </c>
      <c r="G7" s="7" t="s">
        <v>39</v>
      </c>
      <c r="H7" s="7" t="n">
        <v>55</v>
      </c>
      <c r="I7" s="7" t="n">
        <v>67</v>
      </c>
      <c r="J7" s="7" t="n">
        <v>44</v>
      </c>
      <c r="K7" s="7" t="n">
        <v>101</v>
      </c>
      <c r="L7" s="7" t="n">
        <v>0</v>
      </c>
      <c r="M7" s="22" t="n">
        <v>0</v>
      </c>
      <c r="N7" s="3"/>
      <c r="O7" s="3"/>
      <c r="P7" s="3"/>
    </row>
    <row r="8" customFormat="false" ht="15" hidden="false" customHeight="true" outlineLevel="0" collapsed="false">
      <c r="A8" s="8" t="n">
        <v>46143</v>
      </c>
      <c r="B8" s="7" t="s">
        <v>162</v>
      </c>
      <c r="C8" s="7" t="s">
        <v>97</v>
      </c>
      <c r="D8" s="7" t="s">
        <v>158</v>
      </c>
      <c r="E8" s="7" t="s">
        <v>159</v>
      </c>
      <c r="F8" s="7" t="s">
        <v>160</v>
      </c>
      <c r="G8" s="7" t="s">
        <v>39</v>
      </c>
      <c r="H8" s="7" t="n">
        <v>43</v>
      </c>
      <c r="I8" s="7" t="n">
        <v>52</v>
      </c>
      <c r="J8" s="7" t="n">
        <v>31</v>
      </c>
      <c r="K8" s="7" t="n">
        <v>113</v>
      </c>
      <c r="L8" s="7" t="n">
        <v>0</v>
      </c>
      <c r="M8" s="22" t="n">
        <v>0</v>
      </c>
      <c r="N8" s="3"/>
      <c r="O8" s="3"/>
      <c r="P8" s="3"/>
    </row>
    <row r="9" customFormat="false" ht="15" hidden="false" customHeight="true" outlineLevel="0" collapsed="false">
      <c r="A9" s="8" t="n">
        <v>46143</v>
      </c>
      <c r="B9" s="7" t="s">
        <v>163</v>
      </c>
      <c r="C9" s="7" t="s">
        <v>97</v>
      </c>
      <c r="D9" s="7" t="s">
        <v>158</v>
      </c>
      <c r="E9" s="7" t="s">
        <v>159</v>
      </c>
      <c r="F9" s="7" t="s">
        <v>160</v>
      </c>
      <c r="G9" s="7" t="s">
        <v>39</v>
      </c>
      <c r="H9" s="7" t="n">
        <v>34</v>
      </c>
      <c r="I9" s="7" t="n">
        <v>41</v>
      </c>
      <c r="J9" s="7" t="n">
        <v>24</v>
      </c>
      <c r="K9" s="7" t="n">
        <v>101</v>
      </c>
      <c r="L9" s="7" t="n">
        <v>0</v>
      </c>
      <c r="M9" s="22" t="n">
        <v>0</v>
      </c>
      <c r="N9" s="3"/>
      <c r="O9" s="3"/>
      <c r="P9" s="3"/>
    </row>
    <row r="10" customFormat="false" ht="15" hidden="false" customHeight="true" outlineLevel="0" collapsed="false">
      <c r="A10" s="8" t="n">
        <v>46143</v>
      </c>
      <c r="B10" s="7" t="s">
        <v>164</v>
      </c>
      <c r="C10" s="7" t="s">
        <v>87</v>
      </c>
      <c r="D10" s="7" t="s">
        <v>158</v>
      </c>
      <c r="E10" s="7" t="s">
        <v>159</v>
      </c>
      <c r="F10" s="7" t="s">
        <v>165</v>
      </c>
      <c r="G10" s="7" t="s">
        <v>39</v>
      </c>
      <c r="H10" s="7" t="n">
        <v>24</v>
      </c>
      <c r="I10" s="7" t="n">
        <v>30</v>
      </c>
      <c r="J10" s="7" t="n">
        <v>16</v>
      </c>
      <c r="K10" s="7" t="n">
        <v>80</v>
      </c>
      <c r="L10" s="7" t="n">
        <v>0</v>
      </c>
      <c r="M10" s="22" t="n">
        <v>0</v>
      </c>
      <c r="N10" s="3"/>
      <c r="O10" s="3"/>
      <c r="P10" s="3"/>
    </row>
    <row r="11" customFormat="false" ht="15" hidden="false" customHeight="true" outlineLevel="0" collapsed="false">
      <c r="A11" s="8" t="n">
        <v>46143</v>
      </c>
      <c r="B11" s="7" t="s">
        <v>166</v>
      </c>
      <c r="C11" s="7" t="s">
        <v>167</v>
      </c>
      <c r="D11" s="7" t="s">
        <v>158</v>
      </c>
      <c r="E11" s="7" t="s">
        <v>159</v>
      </c>
      <c r="F11" s="7" t="s">
        <v>165</v>
      </c>
      <c r="G11" s="7" t="s">
        <v>39</v>
      </c>
      <c r="H11" s="7" t="n">
        <v>7</v>
      </c>
      <c r="I11" s="7" t="n">
        <v>9</v>
      </c>
      <c r="J11" s="7" t="n">
        <v>5</v>
      </c>
      <c r="K11" s="7" t="n">
        <v>82</v>
      </c>
      <c r="L11" s="7" t="n">
        <v>0</v>
      </c>
      <c r="M11" s="22" t="n">
        <v>0</v>
      </c>
      <c r="N11" s="3"/>
      <c r="O11" s="3"/>
      <c r="P11" s="3"/>
    </row>
    <row r="12" customFormat="false" ht="15" hidden="false" customHeight="true" outlineLevel="0" collapsed="false">
      <c r="A12" s="8" t="n">
        <v>46144</v>
      </c>
      <c r="B12" s="7" t="s">
        <v>157</v>
      </c>
      <c r="C12" s="7" t="s">
        <v>92</v>
      </c>
      <c r="D12" s="7" t="s">
        <v>158</v>
      </c>
      <c r="E12" s="7" t="s">
        <v>159</v>
      </c>
      <c r="F12" s="7" t="s">
        <v>165</v>
      </c>
      <c r="G12" s="7" t="s">
        <v>39</v>
      </c>
      <c r="H12" s="7" t="n">
        <v>46</v>
      </c>
      <c r="I12" s="7" t="n">
        <v>56</v>
      </c>
      <c r="J12" s="7" t="n">
        <v>36</v>
      </c>
      <c r="K12" s="7" t="n">
        <v>102</v>
      </c>
      <c r="L12" s="7" t="n">
        <v>0</v>
      </c>
      <c r="M12" s="22" t="n">
        <v>0</v>
      </c>
      <c r="N12" s="3"/>
      <c r="O12" s="3"/>
      <c r="P12" s="3"/>
    </row>
    <row r="13" customFormat="false" ht="15" hidden="false" customHeight="true" outlineLevel="0" collapsed="false">
      <c r="A13" s="8" t="n">
        <v>46144</v>
      </c>
      <c r="B13" s="7" t="s">
        <v>161</v>
      </c>
      <c r="C13" s="7" t="s">
        <v>92</v>
      </c>
      <c r="D13" s="7" t="s">
        <v>158</v>
      </c>
      <c r="E13" s="7" t="s">
        <v>159</v>
      </c>
      <c r="F13" s="7" t="s">
        <v>160</v>
      </c>
      <c r="G13" s="7" t="s">
        <v>39</v>
      </c>
      <c r="H13" s="7" t="n">
        <v>43</v>
      </c>
      <c r="I13" s="7" t="n">
        <v>53</v>
      </c>
      <c r="J13" s="7" t="n">
        <v>34</v>
      </c>
      <c r="K13" s="7" t="n">
        <v>84</v>
      </c>
      <c r="L13" s="7" t="n">
        <v>0</v>
      </c>
      <c r="M13" s="22" t="n">
        <v>0</v>
      </c>
      <c r="N13" s="3"/>
      <c r="O13" s="3"/>
      <c r="P13" s="3"/>
    </row>
    <row r="14" customFormat="false" ht="15" hidden="false" customHeight="true" outlineLevel="0" collapsed="false">
      <c r="A14" s="8" t="n">
        <v>46144</v>
      </c>
      <c r="B14" s="7" t="s">
        <v>162</v>
      </c>
      <c r="C14" s="7" t="s">
        <v>97</v>
      </c>
      <c r="D14" s="7" t="s">
        <v>158</v>
      </c>
      <c r="E14" s="7" t="s">
        <v>159</v>
      </c>
      <c r="F14" s="7" t="s">
        <v>165</v>
      </c>
      <c r="G14" s="7" t="s">
        <v>39</v>
      </c>
      <c r="H14" s="7" t="n">
        <v>35</v>
      </c>
      <c r="I14" s="7" t="n">
        <v>43</v>
      </c>
      <c r="J14" s="7" t="n">
        <v>25</v>
      </c>
      <c r="K14" s="7" t="n">
        <v>117</v>
      </c>
      <c r="L14" s="7" t="n">
        <v>0</v>
      </c>
      <c r="M14" s="22" t="n">
        <v>0</v>
      </c>
      <c r="N14" s="3"/>
      <c r="O14" s="3"/>
      <c r="P14" s="3"/>
    </row>
    <row r="15" customFormat="false" ht="15" hidden="false" customHeight="true" outlineLevel="0" collapsed="false">
      <c r="A15" s="8" t="n">
        <v>46144</v>
      </c>
      <c r="B15" s="7" t="s">
        <v>163</v>
      </c>
      <c r="C15" s="7" t="s">
        <v>97</v>
      </c>
      <c r="D15" s="7" t="s">
        <v>158</v>
      </c>
      <c r="E15" s="7" t="s">
        <v>159</v>
      </c>
      <c r="F15" s="7" t="s">
        <v>165</v>
      </c>
      <c r="G15" s="7" t="s">
        <v>39</v>
      </c>
      <c r="H15" s="7" t="n">
        <v>38</v>
      </c>
      <c r="I15" s="7" t="n">
        <v>46</v>
      </c>
      <c r="J15" s="7" t="n">
        <v>27</v>
      </c>
      <c r="K15" s="7" t="n">
        <v>112</v>
      </c>
      <c r="L15" s="7" t="n">
        <v>0</v>
      </c>
      <c r="M15" s="22" t="n">
        <v>0</v>
      </c>
      <c r="N15" s="3"/>
      <c r="O15" s="3"/>
      <c r="P15" s="3"/>
    </row>
    <row r="16" customFormat="false" ht="15" hidden="false" customHeight="true" outlineLevel="0" collapsed="false">
      <c r="A16" s="8" t="n">
        <v>46144</v>
      </c>
      <c r="B16" s="7" t="s">
        <v>164</v>
      </c>
      <c r="C16" s="7" t="s">
        <v>87</v>
      </c>
      <c r="D16" s="7" t="s">
        <v>158</v>
      </c>
      <c r="E16" s="7" t="s">
        <v>159</v>
      </c>
      <c r="F16" s="7" t="s">
        <v>160</v>
      </c>
      <c r="G16" s="7" t="s">
        <v>39</v>
      </c>
      <c r="H16" s="7" t="n">
        <v>36</v>
      </c>
      <c r="I16" s="7" t="n">
        <v>44</v>
      </c>
      <c r="J16" s="7" t="n">
        <v>24</v>
      </c>
      <c r="K16" s="7" t="n">
        <v>70</v>
      </c>
      <c r="L16" s="7" t="n">
        <v>0</v>
      </c>
      <c r="M16" s="22" t="n">
        <v>0</v>
      </c>
      <c r="N16" s="3"/>
      <c r="O16" s="3"/>
      <c r="P16" s="3"/>
    </row>
    <row r="17" customFormat="false" ht="15" hidden="false" customHeight="true" outlineLevel="0" collapsed="false">
      <c r="A17" s="8" t="n">
        <v>46144</v>
      </c>
      <c r="B17" s="7" t="s">
        <v>166</v>
      </c>
      <c r="C17" s="7" t="s">
        <v>167</v>
      </c>
      <c r="D17" s="7" t="s">
        <v>158</v>
      </c>
      <c r="E17" s="7" t="s">
        <v>159</v>
      </c>
      <c r="F17" s="7" t="s">
        <v>160</v>
      </c>
      <c r="G17" s="7" t="s">
        <v>39</v>
      </c>
      <c r="H17" s="7" t="n">
        <v>6</v>
      </c>
      <c r="I17" s="7" t="n">
        <v>8</v>
      </c>
      <c r="J17" s="7" t="n">
        <v>4</v>
      </c>
      <c r="K17" s="7" t="n">
        <v>84</v>
      </c>
      <c r="L17" s="7" t="n">
        <v>0</v>
      </c>
      <c r="M17" s="22" t="n">
        <v>0</v>
      </c>
      <c r="N17" s="3"/>
      <c r="O17" s="3"/>
      <c r="P17" s="3"/>
    </row>
    <row r="18" customFormat="false" ht="15" hidden="false" customHeight="true" outlineLevel="0" collapsed="false">
      <c r="A18" s="8" t="n">
        <v>46145</v>
      </c>
      <c r="B18" s="7" t="s">
        <v>157</v>
      </c>
      <c r="C18" s="7" t="s">
        <v>92</v>
      </c>
      <c r="D18" s="7" t="s">
        <v>158</v>
      </c>
      <c r="E18" s="7" t="s">
        <v>159</v>
      </c>
      <c r="F18" s="7" t="s">
        <v>165</v>
      </c>
      <c r="G18" s="7" t="s">
        <v>39</v>
      </c>
      <c r="H18" s="7" t="n">
        <v>48</v>
      </c>
      <c r="I18" s="7" t="n">
        <v>59</v>
      </c>
      <c r="J18" s="7" t="n">
        <v>38</v>
      </c>
      <c r="K18" s="7" t="n">
        <v>96</v>
      </c>
      <c r="L18" s="7" t="n">
        <v>0</v>
      </c>
      <c r="M18" s="22" t="n">
        <v>0</v>
      </c>
      <c r="N18" s="3"/>
      <c r="O18" s="3"/>
      <c r="P18" s="3"/>
    </row>
    <row r="19" customFormat="false" ht="15" hidden="false" customHeight="true" outlineLevel="0" collapsed="false">
      <c r="A19" s="8" t="n">
        <v>46145</v>
      </c>
      <c r="B19" s="7" t="s">
        <v>161</v>
      </c>
      <c r="C19" s="7" t="s">
        <v>92</v>
      </c>
      <c r="D19" s="7" t="s">
        <v>158</v>
      </c>
      <c r="E19" s="7" t="s">
        <v>159</v>
      </c>
      <c r="F19" s="7" t="s">
        <v>160</v>
      </c>
      <c r="G19" s="7" t="s">
        <v>39</v>
      </c>
      <c r="H19" s="7" t="n">
        <v>43</v>
      </c>
      <c r="I19" s="7" t="n">
        <v>53</v>
      </c>
      <c r="J19" s="7" t="n">
        <v>34</v>
      </c>
      <c r="K19" s="7" t="n">
        <v>105</v>
      </c>
      <c r="L19" s="7" t="n">
        <v>0</v>
      </c>
      <c r="M19" s="22" t="n">
        <v>0</v>
      </c>
      <c r="N19" s="3"/>
      <c r="O19" s="3"/>
      <c r="P19" s="3"/>
    </row>
    <row r="20" customFormat="false" ht="15" hidden="false" customHeight="true" outlineLevel="0" collapsed="false">
      <c r="A20" s="8" t="n">
        <v>46145</v>
      </c>
      <c r="B20" s="7" t="s">
        <v>162</v>
      </c>
      <c r="C20" s="7" t="s">
        <v>97</v>
      </c>
      <c r="D20" s="7" t="s">
        <v>158</v>
      </c>
      <c r="E20" s="7" t="s">
        <v>159</v>
      </c>
      <c r="F20" s="7" t="s">
        <v>160</v>
      </c>
      <c r="G20" s="7" t="s">
        <v>39</v>
      </c>
      <c r="H20" s="7" t="n">
        <v>35</v>
      </c>
      <c r="I20" s="7" t="n">
        <v>43</v>
      </c>
      <c r="J20" s="7" t="n">
        <v>25</v>
      </c>
      <c r="K20" s="7" t="n">
        <v>114</v>
      </c>
      <c r="L20" s="7" t="n">
        <v>0</v>
      </c>
      <c r="M20" s="22" t="n">
        <v>0</v>
      </c>
      <c r="N20" s="3"/>
      <c r="O20" s="3"/>
      <c r="P20" s="3"/>
    </row>
    <row r="21" customFormat="false" ht="15.75" hidden="false" customHeight="true" outlineLevel="0" collapsed="false">
      <c r="A21" s="8" t="n">
        <v>46145</v>
      </c>
      <c r="B21" s="7" t="s">
        <v>163</v>
      </c>
      <c r="C21" s="7" t="s">
        <v>97</v>
      </c>
      <c r="D21" s="7" t="s">
        <v>158</v>
      </c>
      <c r="E21" s="7" t="s">
        <v>159</v>
      </c>
      <c r="F21" s="7" t="s">
        <v>160</v>
      </c>
      <c r="G21" s="7" t="s">
        <v>39</v>
      </c>
      <c r="H21" s="7" t="n">
        <v>44</v>
      </c>
      <c r="I21" s="7" t="n">
        <v>54</v>
      </c>
      <c r="J21" s="7" t="n">
        <v>32</v>
      </c>
      <c r="K21" s="7" t="n">
        <v>122</v>
      </c>
      <c r="L21" s="7" t="n">
        <v>0</v>
      </c>
      <c r="M21" s="22" t="n">
        <v>0</v>
      </c>
      <c r="N21" s="3"/>
      <c r="O21" s="3"/>
      <c r="P21" s="3"/>
    </row>
    <row r="22" customFormat="false" ht="15.75" hidden="false" customHeight="true" outlineLevel="0" collapsed="false">
      <c r="A22" s="8" t="n">
        <v>46145</v>
      </c>
      <c r="B22" s="7" t="s">
        <v>164</v>
      </c>
      <c r="C22" s="7" t="s">
        <v>87</v>
      </c>
      <c r="D22" s="7" t="s">
        <v>158</v>
      </c>
      <c r="E22" s="7" t="s">
        <v>159</v>
      </c>
      <c r="F22" s="7" t="s">
        <v>165</v>
      </c>
      <c r="G22" s="7" t="s">
        <v>39</v>
      </c>
      <c r="H22" s="7" t="n">
        <v>30</v>
      </c>
      <c r="I22" s="7" t="n">
        <v>37</v>
      </c>
      <c r="J22" s="7" t="n">
        <v>20</v>
      </c>
      <c r="K22" s="7" t="n">
        <v>75</v>
      </c>
      <c r="L22" s="7" t="n">
        <v>0</v>
      </c>
      <c r="M22" s="22" t="n">
        <v>0</v>
      </c>
      <c r="N22" s="3"/>
      <c r="O22" s="3"/>
      <c r="P22" s="3"/>
    </row>
    <row r="23" customFormat="false" ht="15.75" hidden="false" customHeight="true" outlineLevel="0" collapsed="false">
      <c r="A23" s="8" t="n">
        <v>46145</v>
      </c>
      <c r="B23" s="7" t="s">
        <v>166</v>
      </c>
      <c r="C23" s="7" t="s">
        <v>167</v>
      </c>
      <c r="D23" s="7" t="s">
        <v>158</v>
      </c>
      <c r="E23" s="7" t="s">
        <v>159</v>
      </c>
      <c r="F23" s="7" t="s">
        <v>165</v>
      </c>
      <c r="G23" s="7" t="s">
        <v>39</v>
      </c>
      <c r="H23" s="7" t="n">
        <v>6</v>
      </c>
      <c r="I23" s="7" t="n">
        <v>8</v>
      </c>
      <c r="J23" s="7" t="n">
        <v>4</v>
      </c>
      <c r="K23" s="7" t="n">
        <v>69</v>
      </c>
      <c r="L23" s="7" t="n">
        <v>0</v>
      </c>
      <c r="M23" s="22" t="n">
        <v>0</v>
      </c>
      <c r="N23" s="3"/>
      <c r="O23" s="3"/>
      <c r="P23" s="3"/>
    </row>
    <row r="24" customFormat="false" ht="15.75" hidden="false" customHeight="true" outlineLevel="0" collapsed="false">
      <c r="A24" s="8" t="n">
        <v>46146</v>
      </c>
      <c r="B24" s="7" t="s">
        <v>157</v>
      </c>
      <c r="C24" s="7" t="s">
        <v>92</v>
      </c>
      <c r="D24" s="7" t="s">
        <v>158</v>
      </c>
      <c r="E24" s="7" t="s">
        <v>159</v>
      </c>
      <c r="F24" s="7" t="s">
        <v>165</v>
      </c>
      <c r="G24" s="7" t="s">
        <v>39</v>
      </c>
      <c r="H24" s="7" t="n">
        <v>43</v>
      </c>
      <c r="I24" s="7" t="n">
        <v>52</v>
      </c>
      <c r="J24" s="7" t="n">
        <v>34</v>
      </c>
      <c r="K24" s="7" t="n">
        <v>98</v>
      </c>
      <c r="L24" s="7" t="n">
        <v>0</v>
      </c>
      <c r="M24" s="22" t="n">
        <v>0</v>
      </c>
      <c r="N24" s="3"/>
      <c r="O24" s="3"/>
      <c r="P24" s="3"/>
    </row>
    <row r="25" customFormat="false" ht="15.75" hidden="false" customHeight="true" outlineLevel="0" collapsed="false">
      <c r="A25" s="8" t="n">
        <v>46146</v>
      </c>
      <c r="B25" s="7" t="s">
        <v>161</v>
      </c>
      <c r="C25" s="7" t="s">
        <v>92</v>
      </c>
      <c r="D25" s="7" t="s">
        <v>158</v>
      </c>
      <c r="E25" s="7" t="s">
        <v>159</v>
      </c>
      <c r="F25" s="7" t="s">
        <v>160</v>
      </c>
      <c r="G25" s="7" t="s">
        <v>39</v>
      </c>
      <c r="H25" s="7" t="n">
        <v>52</v>
      </c>
      <c r="I25" s="7" t="n">
        <v>63</v>
      </c>
      <c r="J25" s="7" t="n">
        <v>41</v>
      </c>
      <c r="K25" s="7" t="n">
        <v>96</v>
      </c>
      <c r="L25" s="7" t="n">
        <v>0</v>
      </c>
      <c r="M25" s="22" t="n">
        <v>0</v>
      </c>
      <c r="N25" s="3"/>
      <c r="O25" s="3"/>
      <c r="P25" s="3"/>
    </row>
    <row r="26" customFormat="false" ht="15.75" hidden="false" customHeight="true" outlineLevel="0" collapsed="false">
      <c r="A26" s="8" t="n">
        <v>46146</v>
      </c>
      <c r="B26" s="7" t="s">
        <v>162</v>
      </c>
      <c r="C26" s="7" t="s">
        <v>97</v>
      </c>
      <c r="D26" s="7" t="s">
        <v>158</v>
      </c>
      <c r="E26" s="7" t="s">
        <v>159</v>
      </c>
      <c r="F26" s="7" t="s">
        <v>160</v>
      </c>
      <c r="G26" s="7" t="s">
        <v>39</v>
      </c>
      <c r="H26" s="7" t="n">
        <v>34</v>
      </c>
      <c r="I26" s="7" t="n">
        <v>42</v>
      </c>
      <c r="J26" s="7" t="n">
        <v>25</v>
      </c>
      <c r="K26" s="7" t="n">
        <v>122</v>
      </c>
      <c r="L26" s="7" t="n">
        <v>0</v>
      </c>
      <c r="M26" s="22" t="n">
        <v>0</v>
      </c>
      <c r="N26" s="3"/>
      <c r="O26" s="3"/>
      <c r="P26" s="3"/>
    </row>
    <row r="27" customFormat="false" ht="15.75" hidden="false" customHeight="true" outlineLevel="0" collapsed="false">
      <c r="A27" s="8" t="n">
        <v>46146</v>
      </c>
      <c r="B27" s="7" t="s">
        <v>163</v>
      </c>
      <c r="C27" s="7" t="s">
        <v>97</v>
      </c>
      <c r="D27" s="7" t="s">
        <v>158</v>
      </c>
      <c r="E27" s="7" t="s">
        <v>159</v>
      </c>
      <c r="F27" s="7" t="s">
        <v>160</v>
      </c>
      <c r="G27" s="7" t="s">
        <v>39</v>
      </c>
      <c r="H27" s="7" t="n">
        <v>31</v>
      </c>
      <c r="I27" s="7" t="n">
        <v>38</v>
      </c>
      <c r="J27" s="7" t="n">
        <v>22</v>
      </c>
      <c r="K27" s="7" t="n">
        <v>107</v>
      </c>
      <c r="L27" s="7" t="n">
        <v>0</v>
      </c>
      <c r="M27" s="22" t="n">
        <v>0</v>
      </c>
      <c r="N27" s="3"/>
      <c r="O27" s="3"/>
      <c r="P27" s="3"/>
    </row>
    <row r="28" customFormat="false" ht="15.75" hidden="false" customHeight="true" outlineLevel="0" collapsed="false">
      <c r="A28" s="8" t="n">
        <v>46146</v>
      </c>
      <c r="B28" s="7" t="s">
        <v>164</v>
      </c>
      <c r="C28" s="7" t="s">
        <v>87</v>
      </c>
      <c r="D28" s="7" t="s">
        <v>158</v>
      </c>
      <c r="E28" s="7" t="s">
        <v>159</v>
      </c>
      <c r="F28" s="7" t="s">
        <v>160</v>
      </c>
      <c r="G28" s="7" t="s">
        <v>39</v>
      </c>
      <c r="H28" s="7" t="n">
        <v>34</v>
      </c>
      <c r="I28" s="7" t="n">
        <v>41</v>
      </c>
      <c r="J28" s="7" t="n">
        <v>22</v>
      </c>
      <c r="K28" s="7" t="n">
        <v>87</v>
      </c>
      <c r="L28" s="7" t="n">
        <v>0</v>
      </c>
      <c r="M28" s="22" t="n">
        <v>0</v>
      </c>
      <c r="N28" s="3"/>
      <c r="O28" s="3"/>
      <c r="P28" s="3"/>
    </row>
    <row r="29" customFormat="false" ht="15.75" hidden="false" customHeight="true" outlineLevel="0" collapsed="false">
      <c r="A29" s="8" t="n">
        <v>46146</v>
      </c>
      <c r="B29" s="7" t="s">
        <v>166</v>
      </c>
      <c r="C29" s="7" t="s">
        <v>167</v>
      </c>
      <c r="D29" s="7" t="s">
        <v>158</v>
      </c>
      <c r="E29" s="7" t="s">
        <v>159</v>
      </c>
      <c r="F29" s="7" t="s">
        <v>160</v>
      </c>
      <c r="G29" s="7" t="s">
        <v>39</v>
      </c>
      <c r="H29" s="7" t="n">
        <v>9</v>
      </c>
      <c r="I29" s="7" t="n">
        <v>11</v>
      </c>
      <c r="J29" s="7" t="n">
        <v>6</v>
      </c>
      <c r="K29" s="7" t="n">
        <v>63</v>
      </c>
      <c r="L29" s="7" t="n">
        <v>0</v>
      </c>
      <c r="M29" s="22" t="n">
        <v>0</v>
      </c>
      <c r="N29" s="3"/>
      <c r="O29" s="3"/>
      <c r="P29" s="3"/>
    </row>
    <row r="30" customFormat="false" ht="15.75" hidden="false" customHeight="true" outlineLevel="0" collapsed="false">
      <c r="A30" s="8" t="n">
        <v>46147</v>
      </c>
      <c r="B30" s="7" t="s">
        <v>157</v>
      </c>
      <c r="C30" s="7" t="s">
        <v>92</v>
      </c>
      <c r="D30" s="7" t="s">
        <v>158</v>
      </c>
      <c r="E30" s="7" t="s">
        <v>159</v>
      </c>
      <c r="F30" s="7" t="s">
        <v>160</v>
      </c>
      <c r="G30" s="7" t="s">
        <v>39</v>
      </c>
      <c r="H30" s="7" t="n">
        <v>54</v>
      </c>
      <c r="I30" s="7" t="n">
        <v>66</v>
      </c>
      <c r="J30" s="7" t="n">
        <v>43</v>
      </c>
      <c r="K30" s="7" t="n">
        <v>88</v>
      </c>
      <c r="L30" s="7" t="n">
        <v>0</v>
      </c>
      <c r="M30" s="22" t="n">
        <v>0</v>
      </c>
      <c r="N30" s="3"/>
      <c r="O30" s="3"/>
      <c r="P30" s="3"/>
    </row>
    <row r="31" customFormat="false" ht="15.75" hidden="false" customHeight="true" outlineLevel="0" collapsed="false">
      <c r="A31" s="8" t="n">
        <v>46147</v>
      </c>
      <c r="B31" s="7" t="s">
        <v>161</v>
      </c>
      <c r="C31" s="7" t="s">
        <v>92</v>
      </c>
      <c r="D31" s="7" t="s">
        <v>158</v>
      </c>
      <c r="E31" s="7" t="s">
        <v>159</v>
      </c>
      <c r="F31" s="7" t="s">
        <v>165</v>
      </c>
      <c r="G31" s="7" t="s">
        <v>39</v>
      </c>
      <c r="H31" s="7" t="n">
        <v>53</v>
      </c>
      <c r="I31" s="7" t="n">
        <v>65</v>
      </c>
      <c r="J31" s="7" t="n">
        <v>42</v>
      </c>
      <c r="K31" s="7" t="n">
        <v>99</v>
      </c>
      <c r="L31" s="7" t="n">
        <v>0</v>
      </c>
      <c r="M31" s="22" t="n">
        <v>0</v>
      </c>
      <c r="N31" s="3"/>
      <c r="O31" s="3"/>
      <c r="P31" s="3"/>
    </row>
    <row r="32" customFormat="false" ht="15.75" hidden="false" customHeight="true" outlineLevel="0" collapsed="false">
      <c r="A32" s="8" t="n">
        <v>46147</v>
      </c>
      <c r="B32" s="7" t="s">
        <v>162</v>
      </c>
      <c r="C32" s="7" t="s">
        <v>97</v>
      </c>
      <c r="D32" s="7" t="s">
        <v>158</v>
      </c>
      <c r="E32" s="7" t="s">
        <v>159</v>
      </c>
      <c r="F32" s="7" t="s">
        <v>160</v>
      </c>
      <c r="G32" s="7" t="s">
        <v>39</v>
      </c>
      <c r="H32" s="7" t="n">
        <v>33</v>
      </c>
      <c r="I32" s="7" t="n">
        <v>40</v>
      </c>
      <c r="J32" s="7" t="n">
        <v>24</v>
      </c>
      <c r="K32" s="7" t="n">
        <v>111</v>
      </c>
      <c r="L32" s="7" t="n">
        <v>0</v>
      </c>
      <c r="M32" s="22" t="n">
        <v>0</v>
      </c>
      <c r="N32" s="3"/>
      <c r="O32" s="3"/>
      <c r="P32" s="3"/>
    </row>
    <row r="33" customFormat="false" ht="15.75" hidden="false" customHeight="true" outlineLevel="0" collapsed="false">
      <c r="A33" s="8" t="n">
        <v>46147</v>
      </c>
      <c r="B33" s="7" t="s">
        <v>163</v>
      </c>
      <c r="C33" s="7" t="s">
        <v>97</v>
      </c>
      <c r="D33" s="7" t="s">
        <v>158</v>
      </c>
      <c r="E33" s="7" t="s">
        <v>159</v>
      </c>
      <c r="F33" s="7" t="s">
        <v>160</v>
      </c>
      <c r="G33" s="7" t="s">
        <v>39</v>
      </c>
      <c r="H33" s="7" t="n">
        <v>39</v>
      </c>
      <c r="I33" s="7" t="n">
        <v>48</v>
      </c>
      <c r="J33" s="7" t="n">
        <v>28</v>
      </c>
      <c r="K33" s="7" t="n">
        <v>111</v>
      </c>
      <c r="L33" s="7" t="n">
        <v>0</v>
      </c>
      <c r="M33" s="22" t="n">
        <v>0</v>
      </c>
      <c r="N33" s="3"/>
      <c r="O33" s="3"/>
      <c r="P33" s="3"/>
    </row>
    <row r="34" customFormat="false" ht="15.75" hidden="false" customHeight="true" outlineLevel="0" collapsed="false">
      <c r="A34" s="8" t="n">
        <v>46147</v>
      </c>
      <c r="B34" s="7" t="s">
        <v>164</v>
      </c>
      <c r="C34" s="7" t="s">
        <v>87</v>
      </c>
      <c r="D34" s="7" t="s">
        <v>158</v>
      </c>
      <c r="E34" s="7" t="s">
        <v>159</v>
      </c>
      <c r="F34" s="7" t="s">
        <v>160</v>
      </c>
      <c r="G34" s="7" t="s">
        <v>39</v>
      </c>
      <c r="H34" s="7" t="n">
        <v>38</v>
      </c>
      <c r="I34" s="7" t="n">
        <v>46</v>
      </c>
      <c r="J34" s="7" t="n">
        <v>25</v>
      </c>
      <c r="K34" s="7" t="n">
        <v>72</v>
      </c>
      <c r="L34" s="7" t="n">
        <v>0</v>
      </c>
      <c r="M34" s="22" t="n">
        <v>0</v>
      </c>
      <c r="N34" s="3"/>
      <c r="O34" s="3"/>
      <c r="P34" s="3"/>
    </row>
    <row r="35" customFormat="false" ht="15.75" hidden="false" customHeight="true" outlineLevel="0" collapsed="false">
      <c r="A35" s="8" t="n">
        <v>46147</v>
      </c>
      <c r="B35" s="7" t="s">
        <v>166</v>
      </c>
      <c r="C35" s="7" t="s">
        <v>167</v>
      </c>
      <c r="D35" s="7" t="s">
        <v>158</v>
      </c>
      <c r="E35" s="7" t="s">
        <v>159</v>
      </c>
      <c r="F35" s="7" t="s">
        <v>160</v>
      </c>
      <c r="G35" s="7" t="s">
        <v>39</v>
      </c>
      <c r="H35" s="7" t="n">
        <v>16</v>
      </c>
      <c r="I35" s="7" t="n">
        <v>20</v>
      </c>
      <c r="J35" s="7" t="n">
        <v>11</v>
      </c>
      <c r="K35" s="7" t="n">
        <v>82</v>
      </c>
      <c r="L35" s="7" t="n">
        <v>0</v>
      </c>
      <c r="M35" s="22" t="n">
        <v>0</v>
      </c>
      <c r="N35" s="3"/>
      <c r="O35" s="3"/>
      <c r="P35" s="3"/>
    </row>
    <row r="36" customFormat="false" ht="15.75" hidden="false" customHeight="true" outlineLevel="0" collapsed="false">
      <c r="A36" s="8" t="n">
        <v>46148</v>
      </c>
      <c r="B36" s="7" t="s">
        <v>157</v>
      </c>
      <c r="C36" s="7" t="s">
        <v>92</v>
      </c>
      <c r="D36" s="7" t="s">
        <v>158</v>
      </c>
      <c r="E36" s="7" t="s">
        <v>159</v>
      </c>
      <c r="F36" s="7" t="s">
        <v>160</v>
      </c>
      <c r="G36" s="7" t="s">
        <v>39</v>
      </c>
      <c r="H36" s="7" t="n">
        <v>43</v>
      </c>
      <c r="I36" s="7" t="n">
        <v>52</v>
      </c>
      <c r="J36" s="7" t="n">
        <v>34</v>
      </c>
      <c r="K36" s="7" t="n">
        <v>87</v>
      </c>
      <c r="L36" s="7" t="n">
        <v>0</v>
      </c>
      <c r="M36" s="22" t="n">
        <v>0</v>
      </c>
      <c r="N36" s="3"/>
      <c r="O36" s="3"/>
      <c r="P36" s="3"/>
    </row>
    <row r="37" customFormat="false" ht="15.75" hidden="false" customHeight="true" outlineLevel="0" collapsed="false">
      <c r="A37" s="8" t="n">
        <v>46148</v>
      </c>
      <c r="B37" s="7" t="s">
        <v>161</v>
      </c>
      <c r="C37" s="7" t="s">
        <v>92</v>
      </c>
      <c r="D37" s="7" t="s">
        <v>158</v>
      </c>
      <c r="E37" s="7" t="s">
        <v>159</v>
      </c>
      <c r="F37" s="7" t="s">
        <v>160</v>
      </c>
      <c r="G37" s="7" t="s">
        <v>39</v>
      </c>
      <c r="H37" s="7" t="n">
        <v>42</v>
      </c>
      <c r="I37" s="7" t="n">
        <v>51</v>
      </c>
      <c r="J37" s="7" t="n">
        <v>33</v>
      </c>
      <c r="K37" s="7" t="n">
        <v>107</v>
      </c>
      <c r="L37" s="7" t="n">
        <v>0</v>
      </c>
      <c r="M37" s="22" t="n">
        <v>0</v>
      </c>
      <c r="N37" s="3"/>
      <c r="O37" s="3"/>
      <c r="P37" s="3"/>
    </row>
    <row r="38" customFormat="false" ht="15.75" hidden="false" customHeight="true" outlineLevel="0" collapsed="false">
      <c r="A38" s="8" t="n">
        <v>46148</v>
      </c>
      <c r="B38" s="7" t="s">
        <v>162</v>
      </c>
      <c r="C38" s="7" t="s">
        <v>97</v>
      </c>
      <c r="D38" s="7" t="s">
        <v>158</v>
      </c>
      <c r="E38" s="7" t="s">
        <v>159</v>
      </c>
      <c r="F38" s="7" t="s">
        <v>160</v>
      </c>
      <c r="G38" s="7" t="s">
        <v>39</v>
      </c>
      <c r="H38" s="7" t="n">
        <v>37</v>
      </c>
      <c r="I38" s="7" t="n">
        <v>45</v>
      </c>
      <c r="J38" s="7" t="n">
        <v>27</v>
      </c>
      <c r="K38" s="7" t="n">
        <v>110</v>
      </c>
      <c r="L38" s="7" t="n">
        <v>0</v>
      </c>
      <c r="M38" s="22" t="n">
        <v>0</v>
      </c>
      <c r="N38" s="3"/>
      <c r="O38" s="3"/>
      <c r="P38" s="3"/>
    </row>
    <row r="39" customFormat="false" ht="15.75" hidden="false" customHeight="true" outlineLevel="0" collapsed="false">
      <c r="A39" s="8" t="n">
        <v>46148</v>
      </c>
      <c r="B39" s="7" t="s">
        <v>163</v>
      </c>
      <c r="C39" s="7" t="s">
        <v>97</v>
      </c>
      <c r="D39" s="7" t="s">
        <v>158</v>
      </c>
      <c r="E39" s="7" t="s">
        <v>159</v>
      </c>
      <c r="F39" s="7" t="s">
        <v>160</v>
      </c>
      <c r="G39" s="7" t="s">
        <v>39</v>
      </c>
      <c r="H39" s="7" t="n">
        <v>34</v>
      </c>
      <c r="I39" s="7" t="n">
        <v>42</v>
      </c>
      <c r="J39" s="7" t="n">
        <v>25</v>
      </c>
      <c r="K39" s="7" t="n">
        <v>116</v>
      </c>
      <c r="L39" s="7" t="n">
        <v>0</v>
      </c>
      <c r="M39" s="22" t="n">
        <v>0</v>
      </c>
      <c r="N39" s="3"/>
      <c r="O39" s="3"/>
      <c r="P39" s="3"/>
    </row>
    <row r="40" customFormat="false" ht="15.75" hidden="false" customHeight="true" outlineLevel="0" collapsed="false">
      <c r="A40" s="8" t="n">
        <v>46148</v>
      </c>
      <c r="B40" s="7" t="s">
        <v>164</v>
      </c>
      <c r="C40" s="7" t="s">
        <v>87</v>
      </c>
      <c r="D40" s="7" t="s">
        <v>158</v>
      </c>
      <c r="E40" s="7" t="s">
        <v>159</v>
      </c>
      <c r="F40" s="7" t="s">
        <v>160</v>
      </c>
      <c r="G40" s="7" t="s">
        <v>39</v>
      </c>
      <c r="H40" s="7" t="n">
        <v>32</v>
      </c>
      <c r="I40" s="7" t="n">
        <v>39</v>
      </c>
      <c r="J40" s="7" t="n">
        <v>21</v>
      </c>
      <c r="K40" s="7" t="n">
        <v>74</v>
      </c>
      <c r="L40" s="7" t="n">
        <v>0</v>
      </c>
      <c r="M40" s="22" t="n">
        <v>0</v>
      </c>
      <c r="N40" s="3"/>
      <c r="O40" s="3"/>
      <c r="P40" s="3"/>
    </row>
    <row r="41" customFormat="false" ht="15.75" hidden="false" customHeight="true" outlineLevel="0" collapsed="false">
      <c r="A41" s="8" t="n">
        <v>46148</v>
      </c>
      <c r="B41" s="7" t="s">
        <v>166</v>
      </c>
      <c r="C41" s="7" t="s">
        <v>167</v>
      </c>
      <c r="D41" s="7" t="s">
        <v>158</v>
      </c>
      <c r="E41" s="7" t="s">
        <v>159</v>
      </c>
      <c r="F41" s="7" t="s">
        <v>160</v>
      </c>
      <c r="G41" s="7" t="s">
        <v>39</v>
      </c>
      <c r="H41" s="7" t="n">
        <v>21</v>
      </c>
      <c r="I41" s="7" t="n">
        <v>26</v>
      </c>
      <c r="J41" s="7" t="n">
        <v>14</v>
      </c>
      <c r="K41" s="7" t="n">
        <v>78</v>
      </c>
      <c r="L41" s="7" t="n">
        <v>0</v>
      </c>
      <c r="M41" s="22" t="n">
        <v>0</v>
      </c>
      <c r="N41" s="3"/>
      <c r="O41" s="3"/>
      <c r="P41" s="3"/>
    </row>
    <row r="42" customFormat="false" ht="15.75" hidden="false" customHeight="true" outlineLevel="0" collapsed="false">
      <c r="A42" s="8" t="n">
        <v>46149</v>
      </c>
      <c r="B42" s="7" t="s">
        <v>157</v>
      </c>
      <c r="C42" s="7" t="s">
        <v>92</v>
      </c>
      <c r="D42" s="7" t="s">
        <v>158</v>
      </c>
      <c r="E42" s="7" t="s">
        <v>159</v>
      </c>
      <c r="F42" s="7" t="s">
        <v>160</v>
      </c>
      <c r="G42" s="7" t="s">
        <v>39</v>
      </c>
      <c r="H42" s="7" t="n">
        <v>52</v>
      </c>
      <c r="I42" s="7" t="n">
        <v>63</v>
      </c>
      <c r="J42" s="7" t="n">
        <v>41</v>
      </c>
      <c r="K42" s="7" t="n">
        <v>88</v>
      </c>
      <c r="L42" s="7" t="n">
        <v>0</v>
      </c>
      <c r="M42" s="22" t="n">
        <v>0</v>
      </c>
      <c r="N42" s="3"/>
      <c r="O42" s="3"/>
      <c r="P42" s="3"/>
    </row>
    <row r="43" customFormat="false" ht="15.75" hidden="false" customHeight="true" outlineLevel="0" collapsed="false">
      <c r="A43" s="8" t="n">
        <v>46149</v>
      </c>
      <c r="B43" s="7" t="s">
        <v>161</v>
      </c>
      <c r="C43" s="7" t="s">
        <v>92</v>
      </c>
      <c r="D43" s="7" t="s">
        <v>158</v>
      </c>
      <c r="E43" s="7" t="s">
        <v>159</v>
      </c>
      <c r="F43" s="7" t="s">
        <v>160</v>
      </c>
      <c r="G43" s="7" t="s">
        <v>39</v>
      </c>
      <c r="H43" s="7" t="n">
        <v>48</v>
      </c>
      <c r="I43" s="7" t="n">
        <v>58</v>
      </c>
      <c r="J43" s="7" t="n">
        <v>38</v>
      </c>
      <c r="K43" s="7" t="n">
        <v>102</v>
      </c>
      <c r="L43" s="7" t="n">
        <v>0</v>
      </c>
      <c r="M43" s="22" t="n">
        <v>0</v>
      </c>
      <c r="N43" s="3"/>
      <c r="O43" s="3"/>
      <c r="P43" s="3"/>
    </row>
    <row r="44" customFormat="false" ht="15.75" hidden="false" customHeight="true" outlineLevel="0" collapsed="false">
      <c r="A44" s="8" t="n">
        <v>46149</v>
      </c>
      <c r="B44" s="7" t="s">
        <v>162</v>
      </c>
      <c r="C44" s="7" t="s">
        <v>97</v>
      </c>
      <c r="D44" s="7" t="s">
        <v>158</v>
      </c>
      <c r="E44" s="7" t="s">
        <v>159</v>
      </c>
      <c r="F44" s="7" t="s">
        <v>165</v>
      </c>
      <c r="G44" s="7" t="s">
        <v>39</v>
      </c>
      <c r="H44" s="7" t="n">
        <v>34</v>
      </c>
      <c r="I44" s="7" t="n">
        <v>41</v>
      </c>
      <c r="J44" s="7" t="n">
        <v>24</v>
      </c>
      <c r="K44" s="7" t="n">
        <v>121</v>
      </c>
      <c r="L44" s="7" t="n">
        <v>0</v>
      </c>
      <c r="M44" s="22" t="n">
        <v>0</v>
      </c>
      <c r="N44" s="3"/>
      <c r="O44" s="3"/>
      <c r="P44" s="3"/>
    </row>
    <row r="45" customFormat="false" ht="15.75" hidden="false" customHeight="true" outlineLevel="0" collapsed="false">
      <c r="A45" s="8" t="n">
        <v>46149</v>
      </c>
      <c r="B45" s="7" t="s">
        <v>163</v>
      </c>
      <c r="C45" s="7" t="s">
        <v>97</v>
      </c>
      <c r="D45" s="7" t="s">
        <v>158</v>
      </c>
      <c r="E45" s="7" t="s">
        <v>159</v>
      </c>
      <c r="F45" s="7" t="s">
        <v>165</v>
      </c>
      <c r="G45" s="7" t="s">
        <v>39</v>
      </c>
      <c r="H45" s="7" t="n">
        <v>34</v>
      </c>
      <c r="I45" s="7" t="n">
        <v>42</v>
      </c>
      <c r="J45" s="7" t="n">
        <v>25</v>
      </c>
      <c r="K45" s="7" t="n">
        <v>119</v>
      </c>
      <c r="L45" s="7" t="n">
        <v>0</v>
      </c>
      <c r="M45" s="22" t="n">
        <v>0</v>
      </c>
      <c r="N45" s="3"/>
      <c r="O45" s="3"/>
      <c r="P45" s="3"/>
    </row>
    <row r="46" customFormat="false" ht="15.75" hidden="false" customHeight="true" outlineLevel="0" collapsed="false">
      <c r="A46" s="8" t="n">
        <v>46149</v>
      </c>
      <c r="B46" s="7" t="s">
        <v>164</v>
      </c>
      <c r="C46" s="7" t="s">
        <v>87</v>
      </c>
      <c r="D46" s="7" t="s">
        <v>158</v>
      </c>
      <c r="E46" s="7" t="s">
        <v>159</v>
      </c>
      <c r="F46" s="7" t="s">
        <v>160</v>
      </c>
      <c r="G46" s="7" t="s">
        <v>39</v>
      </c>
      <c r="H46" s="7" t="n">
        <v>24</v>
      </c>
      <c r="I46" s="7" t="n">
        <v>30</v>
      </c>
      <c r="J46" s="7" t="n">
        <v>16</v>
      </c>
      <c r="K46" s="7" t="n">
        <v>76</v>
      </c>
      <c r="L46" s="7" t="n">
        <v>0</v>
      </c>
      <c r="M46" s="22" t="n">
        <v>0</v>
      </c>
      <c r="N46" s="3"/>
      <c r="O46" s="3"/>
      <c r="P46" s="3"/>
    </row>
    <row r="47" customFormat="false" ht="15.75" hidden="false" customHeight="true" outlineLevel="0" collapsed="false">
      <c r="A47" s="8" t="n">
        <v>46149</v>
      </c>
      <c r="B47" s="7" t="s">
        <v>166</v>
      </c>
      <c r="C47" s="7" t="s">
        <v>167</v>
      </c>
      <c r="D47" s="7" t="s">
        <v>158</v>
      </c>
      <c r="E47" s="7" t="s">
        <v>159</v>
      </c>
      <c r="F47" s="7" t="s">
        <v>160</v>
      </c>
      <c r="G47" s="7" t="s">
        <v>39</v>
      </c>
      <c r="H47" s="7" t="n">
        <v>7</v>
      </c>
      <c r="I47" s="7" t="n">
        <v>9</v>
      </c>
      <c r="J47" s="7" t="n">
        <v>5</v>
      </c>
      <c r="K47" s="7" t="n">
        <v>79</v>
      </c>
      <c r="L47" s="7" t="n">
        <v>0</v>
      </c>
      <c r="M47" s="22" t="n">
        <v>0</v>
      </c>
      <c r="N47" s="3"/>
      <c r="O47" s="3"/>
      <c r="P47" s="3"/>
    </row>
    <row r="48" customFormat="false" ht="15.75" hidden="false" customHeight="true" outlineLevel="0" collapsed="false">
      <c r="A48" s="8" t="n">
        <v>46150</v>
      </c>
      <c r="B48" s="7" t="s">
        <v>157</v>
      </c>
      <c r="C48" s="7" t="s">
        <v>92</v>
      </c>
      <c r="D48" s="7" t="s">
        <v>158</v>
      </c>
      <c r="E48" s="7" t="s">
        <v>159</v>
      </c>
      <c r="F48" s="7" t="s">
        <v>165</v>
      </c>
      <c r="G48" s="7" t="s">
        <v>39</v>
      </c>
      <c r="H48" s="7" t="n">
        <v>52</v>
      </c>
      <c r="I48" s="7" t="n">
        <v>63</v>
      </c>
      <c r="J48" s="7" t="n">
        <v>41</v>
      </c>
      <c r="K48" s="7" t="n">
        <v>91</v>
      </c>
      <c r="L48" s="7" t="n">
        <v>0</v>
      </c>
      <c r="M48" s="22" t="n">
        <v>0</v>
      </c>
      <c r="N48" s="3"/>
      <c r="O48" s="3"/>
      <c r="P48" s="3"/>
    </row>
    <row r="49" customFormat="false" ht="15.75" hidden="false" customHeight="true" outlineLevel="0" collapsed="false">
      <c r="A49" s="8" t="n">
        <v>46150</v>
      </c>
      <c r="B49" s="7" t="s">
        <v>161</v>
      </c>
      <c r="C49" s="7" t="s">
        <v>92</v>
      </c>
      <c r="D49" s="7" t="s">
        <v>158</v>
      </c>
      <c r="E49" s="7" t="s">
        <v>159</v>
      </c>
      <c r="F49" s="7" t="s">
        <v>160</v>
      </c>
      <c r="G49" s="7" t="s">
        <v>39</v>
      </c>
      <c r="H49" s="7" t="n">
        <v>54</v>
      </c>
      <c r="I49" s="7" t="n">
        <v>66</v>
      </c>
      <c r="J49" s="7" t="n">
        <v>43</v>
      </c>
      <c r="K49" s="7" t="n">
        <v>92</v>
      </c>
      <c r="L49" s="7" t="n">
        <v>0</v>
      </c>
      <c r="M49" s="22" t="n">
        <v>0</v>
      </c>
      <c r="N49" s="3"/>
      <c r="O49" s="3"/>
      <c r="P49" s="3"/>
    </row>
    <row r="50" customFormat="false" ht="15.75" hidden="false" customHeight="true" outlineLevel="0" collapsed="false">
      <c r="A50" s="8" t="n">
        <v>46150</v>
      </c>
      <c r="B50" s="7" t="s">
        <v>162</v>
      </c>
      <c r="C50" s="7" t="s">
        <v>97</v>
      </c>
      <c r="D50" s="7" t="s">
        <v>158</v>
      </c>
      <c r="E50" s="7" t="s">
        <v>159</v>
      </c>
      <c r="F50" s="7" t="s">
        <v>160</v>
      </c>
      <c r="G50" s="7" t="s">
        <v>39</v>
      </c>
      <c r="H50" s="7" t="n">
        <v>31</v>
      </c>
      <c r="I50" s="7" t="n">
        <v>38</v>
      </c>
      <c r="J50" s="7" t="n">
        <v>22</v>
      </c>
      <c r="K50" s="7" t="n">
        <v>102</v>
      </c>
      <c r="L50" s="7" t="n">
        <v>0</v>
      </c>
      <c r="M50" s="22" t="n">
        <v>0</v>
      </c>
      <c r="N50" s="3"/>
      <c r="O50" s="3"/>
      <c r="P50" s="3"/>
    </row>
    <row r="51" customFormat="false" ht="15.75" hidden="false" customHeight="true" outlineLevel="0" collapsed="false">
      <c r="A51" s="8" t="n">
        <v>46150</v>
      </c>
      <c r="B51" s="7" t="s">
        <v>163</v>
      </c>
      <c r="C51" s="7" t="s">
        <v>97</v>
      </c>
      <c r="D51" s="7" t="s">
        <v>158</v>
      </c>
      <c r="E51" s="7" t="s">
        <v>159</v>
      </c>
      <c r="F51" s="7" t="s">
        <v>165</v>
      </c>
      <c r="G51" s="7" t="s">
        <v>39</v>
      </c>
      <c r="H51" s="7" t="n">
        <v>31</v>
      </c>
      <c r="I51" s="7" t="n">
        <v>38</v>
      </c>
      <c r="J51" s="7" t="n">
        <v>22</v>
      </c>
      <c r="K51" s="7" t="n">
        <v>106</v>
      </c>
      <c r="L51" s="7" t="n">
        <v>0</v>
      </c>
      <c r="M51" s="22" t="n">
        <v>0</v>
      </c>
      <c r="N51" s="3"/>
      <c r="O51" s="3"/>
      <c r="P51" s="3"/>
    </row>
    <row r="52" customFormat="false" ht="15.75" hidden="false" customHeight="true" outlineLevel="0" collapsed="false">
      <c r="A52" s="8" t="n">
        <v>46150</v>
      </c>
      <c r="B52" s="7" t="s">
        <v>164</v>
      </c>
      <c r="C52" s="7" t="s">
        <v>87</v>
      </c>
      <c r="D52" s="7" t="s">
        <v>158</v>
      </c>
      <c r="E52" s="7" t="s">
        <v>159</v>
      </c>
      <c r="F52" s="7" t="s">
        <v>160</v>
      </c>
      <c r="G52" s="7" t="s">
        <v>39</v>
      </c>
      <c r="H52" s="7" t="n">
        <v>28</v>
      </c>
      <c r="I52" s="7" t="n">
        <v>34</v>
      </c>
      <c r="J52" s="7" t="n">
        <v>19</v>
      </c>
      <c r="K52" s="7" t="n">
        <v>86</v>
      </c>
      <c r="L52" s="7" t="n">
        <v>0</v>
      </c>
      <c r="M52" s="22" t="n">
        <v>0</v>
      </c>
      <c r="N52" s="3"/>
      <c r="O52" s="3"/>
      <c r="P52" s="3"/>
    </row>
    <row r="53" customFormat="false" ht="15.75" hidden="false" customHeight="true" outlineLevel="0" collapsed="false">
      <c r="A53" s="8" t="n">
        <v>46150</v>
      </c>
      <c r="B53" s="7" t="s">
        <v>166</v>
      </c>
      <c r="C53" s="7" t="s">
        <v>167</v>
      </c>
      <c r="D53" s="7" t="s">
        <v>158</v>
      </c>
      <c r="E53" s="7" t="s">
        <v>159</v>
      </c>
      <c r="F53" s="7" t="s">
        <v>160</v>
      </c>
      <c r="G53" s="7" t="s">
        <v>39</v>
      </c>
      <c r="H53" s="7" t="n">
        <v>17</v>
      </c>
      <c r="I53" s="7" t="n">
        <v>21</v>
      </c>
      <c r="J53" s="7" t="n">
        <v>11</v>
      </c>
      <c r="K53" s="7" t="n">
        <v>77</v>
      </c>
      <c r="L53" s="7" t="n">
        <v>0</v>
      </c>
      <c r="M53" s="22" t="n">
        <v>0</v>
      </c>
      <c r="N53" s="3"/>
      <c r="O53" s="3"/>
      <c r="P53" s="3"/>
    </row>
    <row r="54" customFormat="false" ht="15.75" hidden="false" customHeight="true" outlineLevel="0" collapsed="false">
      <c r="A54" s="8" t="n">
        <v>46151</v>
      </c>
      <c r="B54" s="7" t="s">
        <v>157</v>
      </c>
      <c r="C54" s="7" t="s">
        <v>92</v>
      </c>
      <c r="D54" s="7" t="s">
        <v>158</v>
      </c>
      <c r="E54" s="7" t="s">
        <v>159</v>
      </c>
      <c r="F54" s="7" t="s">
        <v>160</v>
      </c>
      <c r="G54" s="7" t="s">
        <v>39</v>
      </c>
      <c r="H54" s="7" t="n">
        <v>46</v>
      </c>
      <c r="I54" s="7" t="n">
        <v>56</v>
      </c>
      <c r="J54" s="7" t="n">
        <v>36</v>
      </c>
      <c r="K54" s="7" t="n">
        <v>92</v>
      </c>
      <c r="L54" s="7" t="n">
        <v>0</v>
      </c>
      <c r="M54" s="22" t="n">
        <v>0</v>
      </c>
      <c r="N54" s="3"/>
      <c r="O54" s="3"/>
      <c r="P54" s="3"/>
    </row>
    <row r="55" customFormat="false" ht="15.75" hidden="false" customHeight="true" outlineLevel="0" collapsed="false">
      <c r="A55" s="8" t="n">
        <v>46151</v>
      </c>
      <c r="B55" s="7" t="s">
        <v>161</v>
      </c>
      <c r="C55" s="7" t="s">
        <v>92</v>
      </c>
      <c r="D55" s="7" t="s">
        <v>158</v>
      </c>
      <c r="E55" s="7" t="s">
        <v>159</v>
      </c>
      <c r="F55" s="7" t="s">
        <v>160</v>
      </c>
      <c r="G55" s="7" t="s">
        <v>39</v>
      </c>
      <c r="H55" s="7" t="n">
        <v>45</v>
      </c>
      <c r="I55" s="7" t="n">
        <v>55</v>
      </c>
      <c r="J55" s="7" t="n">
        <v>36</v>
      </c>
      <c r="K55" s="7" t="n">
        <v>85</v>
      </c>
      <c r="L55" s="7" t="n">
        <v>0</v>
      </c>
      <c r="M55" s="22" t="n">
        <v>0</v>
      </c>
      <c r="N55" s="3"/>
      <c r="O55" s="3"/>
      <c r="P55" s="3"/>
    </row>
    <row r="56" customFormat="false" ht="15.75" hidden="false" customHeight="true" outlineLevel="0" collapsed="false">
      <c r="A56" s="8" t="n">
        <v>46151</v>
      </c>
      <c r="B56" s="7" t="s">
        <v>162</v>
      </c>
      <c r="C56" s="7" t="s">
        <v>97</v>
      </c>
      <c r="D56" s="7" t="s">
        <v>158</v>
      </c>
      <c r="E56" s="7" t="s">
        <v>159</v>
      </c>
      <c r="F56" s="7" t="s">
        <v>160</v>
      </c>
      <c r="G56" s="7" t="s">
        <v>39</v>
      </c>
      <c r="H56" s="7" t="n">
        <v>41</v>
      </c>
      <c r="I56" s="7" t="n">
        <v>50</v>
      </c>
      <c r="J56" s="7" t="n">
        <v>30</v>
      </c>
      <c r="K56" s="7" t="n">
        <v>108</v>
      </c>
      <c r="L56" s="7" t="n">
        <v>0</v>
      </c>
      <c r="M56" s="22" t="n">
        <v>0</v>
      </c>
      <c r="N56" s="3"/>
      <c r="O56" s="3"/>
      <c r="P56" s="3"/>
    </row>
    <row r="57" customFormat="false" ht="15.75" hidden="false" customHeight="true" outlineLevel="0" collapsed="false">
      <c r="A57" s="8" t="n">
        <v>46151</v>
      </c>
      <c r="B57" s="7" t="s">
        <v>163</v>
      </c>
      <c r="C57" s="7" t="s">
        <v>97</v>
      </c>
      <c r="D57" s="7" t="s">
        <v>158</v>
      </c>
      <c r="E57" s="7" t="s">
        <v>159</v>
      </c>
      <c r="F57" s="7" t="s">
        <v>160</v>
      </c>
      <c r="G57" s="7" t="s">
        <v>39</v>
      </c>
      <c r="H57" s="7" t="n">
        <v>43</v>
      </c>
      <c r="I57" s="7" t="n">
        <v>52</v>
      </c>
      <c r="J57" s="7" t="n">
        <v>31</v>
      </c>
      <c r="K57" s="7" t="n">
        <v>116</v>
      </c>
      <c r="L57" s="7" t="n">
        <v>0</v>
      </c>
      <c r="M57" s="22" t="n">
        <v>0</v>
      </c>
      <c r="N57" s="3"/>
      <c r="O57" s="3"/>
      <c r="P57" s="3"/>
    </row>
    <row r="58" customFormat="false" ht="15.75" hidden="false" customHeight="true" outlineLevel="0" collapsed="false">
      <c r="A58" s="8" t="n">
        <v>46151</v>
      </c>
      <c r="B58" s="7" t="s">
        <v>164</v>
      </c>
      <c r="C58" s="7" t="s">
        <v>87</v>
      </c>
      <c r="D58" s="7" t="s">
        <v>158</v>
      </c>
      <c r="E58" s="7" t="s">
        <v>159</v>
      </c>
      <c r="F58" s="7" t="s">
        <v>160</v>
      </c>
      <c r="G58" s="7" t="s">
        <v>39</v>
      </c>
      <c r="H58" s="7" t="n">
        <v>23</v>
      </c>
      <c r="I58" s="7" t="n">
        <v>28</v>
      </c>
      <c r="J58" s="7" t="n">
        <v>15</v>
      </c>
      <c r="K58" s="7" t="n">
        <v>78</v>
      </c>
      <c r="L58" s="7" t="n">
        <v>0</v>
      </c>
      <c r="M58" s="22" t="n">
        <v>0</v>
      </c>
      <c r="N58" s="3"/>
      <c r="O58" s="3"/>
      <c r="P58" s="3"/>
    </row>
    <row r="59" customFormat="false" ht="15.75" hidden="false" customHeight="true" outlineLevel="0" collapsed="false">
      <c r="A59" s="8" t="n">
        <v>46151</v>
      </c>
      <c r="B59" s="7" t="s">
        <v>166</v>
      </c>
      <c r="C59" s="7" t="s">
        <v>167</v>
      </c>
      <c r="D59" s="7" t="s">
        <v>158</v>
      </c>
      <c r="E59" s="7" t="s">
        <v>159</v>
      </c>
      <c r="F59" s="7" t="s">
        <v>160</v>
      </c>
      <c r="G59" s="7" t="s">
        <v>39</v>
      </c>
      <c r="H59" s="7" t="n">
        <v>7</v>
      </c>
      <c r="I59" s="7" t="n">
        <v>9</v>
      </c>
      <c r="J59" s="7" t="n">
        <v>5</v>
      </c>
      <c r="K59" s="7" t="n">
        <v>63</v>
      </c>
      <c r="L59" s="7" t="n">
        <v>0</v>
      </c>
      <c r="M59" s="22" t="n">
        <v>0</v>
      </c>
      <c r="N59" s="3"/>
      <c r="O59" s="3"/>
      <c r="P59" s="3"/>
    </row>
    <row r="60" customFormat="false" ht="15.75" hidden="false" customHeight="true" outlineLevel="0" collapsed="false">
      <c r="A60" s="8" t="n">
        <v>46152</v>
      </c>
      <c r="B60" s="7" t="s">
        <v>157</v>
      </c>
      <c r="C60" s="7" t="s">
        <v>92</v>
      </c>
      <c r="D60" s="7" t="s">
        <v>158</v>
      </c>
      <c r="E60" s="7" t="s">
        <v>159</v>
      </c>
      <c r="F60" s="7" t="s">
        <v>160</v>
      </c>
      <c r="G60" s="7" t="s">
        <v>39</v>
      </c>
      <c r="H60" s="7" t="n">
        <v>54</v>
      </c>
      <c r="I60" s="7" t="n">
        <v>66</v>
      </c>
      <c r="J60" s="7" t="n">
        <v>43</v>
      </c>
      <c r="K60" s="7" t="n">
        <v>85</v>
      </c>
      <c r="L60" s="7" t="n">
        <v>0</v>
      </c>
      <c r="M60" s="22" t="n">
        <v>0</v>
      </c>
      <c r="N60" s="3"/>
      <c r="O60" s="3"/>
      <c r="P60" s="3"/>
    </row>
    <row r="61" customFormat="false" ht="15.75" hidden="false" customHeight="true" outlineLevel="0" collapsed="false">
      <c r="A61" s="8" t="n">
        <v>46152</v>
      </c>
      <c r="B61" s="7" t="s">
        <v>161</v>
      </c>
      <c r="C61" s="7" t="s">
        <v>92</v>
      </c>
      <c r="D61" s="7" t="s">
        <v>158</v>
      </c>
      <c r="E61" s="7" t="s">
        <v>159</v>
      </c>
      <c r="F61" s="7" t="s">
        <v>160</v>
      </c>
      <c r="G61" s="7" t="s">
        <v>39</v>
      </c>
      <c r="H61" s="7" t="n">
        <v>45</v>
      </c>
      <c r="I61" s="7" t="n">
        <v>55</v>
      </c>
      <c r="J61" s="7" t="n">
        <v>36</v>
      </c>
      <c r="K61" s="7" t="n">
        <v>85</v>
      </c>
      <c r="L61" s="7" t="n">
        <v>0</v>
      </c>
      <c r="M61" s="22" t="n">
        <v>0</v>
      </c>
      <c r="N61" s="3"/>
      <c r="O61" s="3"/>
      <c r="P61" s="3"/>
    </row>
    <row r="62" customFormat="false" ht="15.75" hidden="false" customHeight="true" outlineLevel="0" collapsed="false">
      <c r="A62" s="8" t="n">
        <v>46152</v>
      </c>
      <c r="B62" s="7" t="s">
        <v>162</v>
      </c>
      <c r="C62" s="7" t="s">
        <v>97</v>
      </c>
      <c r="D62" s="7" t="s">
        <v>158</v>
      </c>
      <c r="E62" s="7" t="s">
        <v>159</v>
      </c>
      <c r="F62" s="7" t="s">
        <v>165</v>
      </c>
      <c r="G62" s="7" t="s">
        <v>39</v>
      </c>
      <c r="H62" s="7" t="n">
        <v>39</v>
      </c>
      <c r="I62" s="7" t="n">
        <v>47</v>
      </c>
      <c r="J62" s="7" t="n">
        <v>28</v>
      </c>
      <c r="K62" s="7" t="n">
        <v>121</v>
      </c>
      <c r="L62" s="7" t="n">
        <v>0</v>
      </c>
      <c r="M62" s="22" t="n">
        <v>0</v>
      </c>
      <c r="N62" s="3"/>
      <c r="O62" s="3"/>
      <c r="P62" s="3"/>
    </row>
    <row r="63" customFormat="false" ht="15.75" hidden="false" customHeight="true" outlineLevel="0" collapsed="false">
      <c r="A63" s="8" t="n">
        <v>46152</v>
      </c>
      <c r="B63" s="7" t="s">
        <v>163</v>
      </c>
      <c r="C63" s="7" t="s">
        <v>97</v>
      </c>
      <c r="D63" s="7" t="s">
        <v>158</v>
      </c>
      <c r="E63" s="7" t="s">
        <v>159</v>
      </c>
      <c r="F63" s="7" t="s">
        <v>160</v>
      </c>
      <c r="G63" s="7" t="s">
        <v>39</v>
      </c>
      <c r="H63" s="7" t="n">
        <v>33</v>
      </c>
      <c r="I63" s="7" t="n">
        <v>40</v>
      </c>
      <c r="J63" s="7" t="n">
        <v>24</v>
      </c>
      <c r="K63" s="7" t="n">
        <v>108</v>
      </c>
      <c r="L63" s="7" t="n">
        <v>0</v>
      </c>
      <c r="M63" s="22" t="n">
        <v>0</v>
      </c>
      <c r="N63" s="3"/>
      <c r="O63" s="3"/>
      <c r="P63" s="3"/>
    </row>
    <row r="64" customFormat="false" ht="15.75" hidden="false" customHeight="true" outlineLevel="0" collapsed="false">
      <c r="A64" s="8" t="n">
        <v>46152</v>
      </c>
      <c r="B64" s="7" t="s">
        <v>164</v>
      </c>
      <c r="C64" s="7" t="s">
        <v>87</v>
      </c>
      <c r="D64" s="7" t="s">
        <v>158</v>
      </c>
      <c r="E64" s="7" t="s">
        <v>159</v>
      </c>
      <c r="F64" s="7" t="s">
        <v>165</v>
      </c>
      <c r="G64" s="7" t="s">
        <v>39</v>
      </c>
      <c r="H64" s="7" t="n">
        <v>35</v>
      </c>
      <c r="I64" s="7" t="n">
        <v>43</v>
      </c>
      <c r="J64" s="7" t="n">
        <v>24</v>
      </c>
      <c r="K64" s="7" t="n">
        <v>65</v>
      </c>
      <c r="L64" s="7" t="n">
        <v>0</v>
      </c>
      <c r="M64" s="22" t="n">
        <v>0</v>
      </c>
      <c r="N64" s="3"/>
      <c r="O64" s="3"/>
      <c r="P64" s="3"/>
    </row>
    <row r="65" customFormat="false" ht="15.75" hidden="false" customHeight="true" outlineLevel="0" collapsed="false">
      <c r="A65" s="8" t="n">
        <v>46152</v>
      </c>
      <c r="B65" s="7" t="s">
        <v>166</v>
      </c>
      <c r="C65" s="7" t="s">
        <v>167</v>
      </c>
      <c r="D65" s="7" t="s">
        <v>158</v>
      </c>
      <c r="E65" s="7" t="s">
        <v>159</v>
      </c>
      <c r="F65" s="7" t="s">
        <v>160</v>
      </c>
      <c r="G65" s="7" t="s">
        <v>39</v>
      </c>
      <c r="H65" s="7" t="n">
        <v>6</v>
      </c>
      <c r="I65" s="7" t="n">
        <v>8</v>
      </c>
      <c r="J65" s="7" t="n">
        <v>4</v>
      </c>
      <c r="K65" s="7" t="n">
        <v>78</v>
      </c>
      <c r="L65" s="7" t="n">
        <v>0</v>
      </c>
      <c r="M65" s="22" t="n">
        <v>0</v>
      </c>
      <c r="N65" s="3"/>
      <c r="O65" s="3"/>
      <c r="P65" s="3"/>
    </row>
    <row r="66" customFormat="false" ht="15.75" hidden="false" customHeight="true" outlineLevel="0" collapsed="false">
      <c r="A66" s="8" t="n">
        <v>46153</v>
      </c>
      <c r="B66" s="7" t="s">
        <v>157</v>
      </c>
      <c r="C66" s="7" t="s">
        <v>92</v>
      </c>
      <c r="D66" s="7" t="s">
        <v>158</v>
      </c>
      <c r="E66" s="7" t="s">
        <v>159</v>
      </c>
      <c r="F66" s="7" t="s">
        <v>160</v>
      </c>
      <c r="G66" s="7" t="s">
        <v>39</v>
      </c>
      <c r="H66" s="7" t="n">
        <v>52</v>
      </c>
      <c r="I66" s="7" t="n">
        <v>63</v>
      </c>
      <c r="J66" s="7" t="n">
        <v>41</v>
      </c>
      <c r="K66" s="7" t="n">
        <v>95</v>
      </c>
      <c r="L66" s="7" t="n">
        <v>0</v>
      </c>
      <c r="M66" s="22" t="n">
        <v>0</v>
      </c>
      <c r="N66" s="3"/>
      <c r="O66" s="3"/>
      <c r="P66" s="3"/>
    </row>
    <row r="67" customFormat="false" ht="15.75" hidden="false" customHeight="true" outlineLevel="0" collapsed="false">
      <c r="A67" s="8" t="n">
        <v>46153</v>
      </c>
      <c r="B67" s="7" t="s">
        <v>161</v>
      </c>
      <c r="C67" s="7" t="s">
        <v>92</v>
      </c>
      <c r="D67" s="7" t="s">
        <v>158</v>
      </c>
      <c r="E67" s="7" t="s">
        <v>159</v>
      </c>
      <c r="F67" s="7" t="s">
        <v>160</v>
      </c>
      <c r="G67" s="7" t="s">
        <v>39</v>
      </c>
      <c r="H67" s="7" t="n">
        <v>43</v>
      </c>
      <c r="I67" s="7" t="n">
        <v>53</v>
      </c>
      <c r="J67" s="7" t="n">
        <v>34</v>
      </c>
      <c r="K67" s="7" t="n">
        <v>85</v>
      </c>
      <c r="L67" s="7" t="n">
        <v>0</v>
      </c>
      <c r="M67" s="22" t="n">
        <v>0</v>
      </c>
      <c r="N67" s="3"/>
      <c r="O67" s="3"/>
      <c r="P67" s="3"/>
    </row>
    <row r="68" customFormat="false" ht="15.75" hidden="false" customHeight="true" outlineLevel="0" collapsed="false">
      <c r="A68" s="8" t="n">
        <v>46153</v>
      </c>
      <c r="B68" s="7" t="s">
        <v>162</v>
      </c>
      <c r="C68" s="7" t="s">
        <v>97</v>
      </c>
      <c r="D68" s="7" t="s">
        <v>158</v>
      </c>
      <c r="E68" s="7" t="s">
        <v>159</v>
      </c>
      <c r="F68" s="7" t="s">
        <v>160</v>
      </c>
      <c r="G68" s="7" t="s">
        <v>39</v>
      </c>
      <c r="H68" s="7" t="n">
        <v>36</v>
      </c>
      <c r="I68" s="7" t="n">
        <v>44</v>
      </c>
      <c r="J68" s="7" t="n">
        <v>26</v>
      </c>
      <c r="K68" s="7" t="n">
        <v>111</v>
      </c>
      <c r="L68" s="7" t="n">
        <v>0</v>
      </c>
      <c r="M68" s="22" t="n">
        <v>0</v>
      </c>
      <c r="N68" s="3"/>
      <c r="O68" s="3"/>
      <c r="P68" s="3"/>
    </row>
    <row r="69" customFormat="false" ht="15.75" hidden="false" customHeight="true" outlineLevel="0" collapsed="false">
      <c r="A69" s="8" t="n">
        <v>46153</v>
      </c>
      <c r="B69" s="7" t="s">
        <v>163</v>
      </c>
      <c r="C69" s="7" t="s">
        <v>97</v>
      </c>
      <c r="D69" s="7" t="s">
        <v>158</v>
      </c>
      <c r="E69" s="7" t="s">
        <v>159</v>
      </c>
      <c r="F69" s="7" t="s">
        <v>160</v>
      </c>
      <c r="G69" s="7" t="s">
        <v>39</v>
      </c>
      <c r="H69" s="7" t="n">
        <v>44</v>
      </c>
      <c r="I69" s="7" t="n">
        <v>54</v>
      </c>
      <c r="J69" s="7" t="n">
        <v>32</v>
      </c>
      <c r="K69" s="7" t="n">
        <v>112</v>
      </c>
      <c r="L69" s="7" t="n">
        <v>0</v>
      </c>
      <c r="M69" s="22" t="n">
        <v>0</v>
      </c>
      <c r="N69" s="3"/>
      <c r="O69" s="3"/>
      <c r="P69" s="3"/>
    </row>
    <row r="70" customFormat="false" ht="15.75" hidden="false" customHeight="true" outlineLevel="0" collapsed="false">
      <c r="A70" s="8" t="n">
        <v>46153</v>
      </c>
      <c r="B70" s="7" t="s">
        <v>164</v>
      </c>
      <c r="C70" s="7" t="s">
        <v>87</v>
      </c>
      <c r="D70" s="7" t="s">
        <v>158</v>
      </c>
      <c r="E70" s="7" t="s">
        <v>159</v>
      </c>
      <c r="F70" s="7" t="s">
        <v>160</v>
      </c>
      <c r="G70" s="7" t="s">
        <v>39</v>
      </c>
      <c r="H70" s="7" t="n">
        <v>37</v>
      </c>
      <c r="I70" s="7" t="n">
        <v>45</v>
      </c>
      <c r="J70" s="7" t="n">
        <v>25</v>
      </c>
      <c r="K70" s="7" t="n">
        <v>65</v>
      </c>
      <c r="L70" s="7" t="n">
        <v>0</v>
      </c>
      <c r="M70" s="22" t="n">
        <v>0</v>
      </c>
      <c r="N70" s="3"/>
      <c r="O70" s="3"/>
      <c r="P70" s="3"/>
    </row>
    <row r="71" customFormat="false" ht="15.75" hidden="false" customHeight="true" outlineLevel="0" collapsed="false">
      <c r="A71" s="8" t="n">
        <v>46153</v>
      </c>
      <c r="B71" s="7" t="s">
        <v>166</v>
      </c>
      <c r="C71" s="7" t="s">
        <v>167</v>
      </c>
      <c r="D71" s="7" t="s">
        <v>158</v>
      </c>
      <c r="E71" s="7" t="s">
        <v>159</v>
      </c>
      <c r="F71" s="7" t="s">
        <v>160</v>
      </c>
      <c r="G71" s="7" t="s">
        <v>39</v>
      </c>
      <c r="H71" s="7" t="n">
        <v>6</v>
      </c>
      <c r="I71" s="7" t="n">
        <v>8</v>
      </c>
      <c r="J71" s="7" t="n">
        <v>4</v>
      </c>
      <c r="K71" s="7" t="n">
        <v>72</v>
      </c>
      <c r="L71" s="7" t="n">
        <v>0</v>
      </c>
      <c r="M71" s="22" t="n">
        <v>0</v>
      </c>
      <c r="N71" s="3"/>
      <c r="O71" s="3"/>
      <c r="P71" s="3"/>
    </row>
    <row r="72" customFormat="false" ht="15.75" hidden="false" customHeight="true" outlineLevel="0" collapsed="false">
      <c r="A72" s="8" t="n">
        <v>46154</v>
      </c>
      <c r="B72" s="7" t="s">
        <v>157</v>
      </c>
      <c r="C72" s="7" t="s">
        <v>92</v>
      </c>
      <c r="D72" s="7" t="s">
        <v>158</v>
      </c>
      <c r="E72" s="7" t="s">
        <v>159</v>
      </c>
      <c r="F72" s="7" t="s">
        <v>160</v>
      </c>
      <c r="G72" s="7" t="s">
        <v>39</v>
      </c>
      <c r="H72" s="7" t="n">
        <v>42</v>
      </c>
      <c r="I72" s="7" t="n">
        <v>51</v>
      </c>
      <c r="J72" s="7" t="n">
        <v>33</v>
      </c>
      <c r="K72" s="7" t="n">
        <v>90</v>
      </c>
      <c r="L72" s="7" t="n">
        <v>0</v>
      </c>
      <c r="M72" s="22" t="n">
        <v>0</v>
      </c>
      <c r="N72" s="3"/>
      <c r="O72" s="3"/>
      <c r="P72" s="3"/>
    </row>
    <row r="73" customFormat="false" ht="15.75" hidden="false" customHeight="true" outlineLevel="0" collapsed="false">
      <c r="A73" s="8" t="n">
        <v>46154</v>
      </c>
      <c r="B73" s="7" t="s">
        <v>161</v>
      </c>
      <c r="C73" s="7" t="s">
        <v>92</v>
      </c>
      <c r="D73" s="7" t="s">
        <v>158</v>
      </c>
      <c r="E73" s="7" t="s">
        <v>159</v>
      </c>
      <c r="F73" s="7" t="s">
        <v>160</v>
      </c>
      <c r="G73" s="7" t="s">
        <v>39</v>
      </c>
      <c r="H73" s="7" t="n">
        <v>54</v>
      </c>
      <c r="I73" s="7" t="n">
        <v>66</v>
      </c>
      <c r="J73" s="7" t="n">
        <v>43</v>
      </c>
      <c r="K73" s="7" t="n">
        <v>91</v>
      </c>
      <c r="L73" s="7" t="n">
        <v>0</v>
      </c>
      <c r="M73" s="22" t="n">
        <v>0</v>
      </c>
      <c r="N73" s="3"/>
      <c r="O73" s="3"/>
      <c r="P73" s="3"/>
    </row>
    <row r="74" customFormat="false" ht="15.75" hidden="false" customHeight="true" outlineLevel="0" collapsed="false">
      <c r="A74" s="8" t="n">
        <v>46154</v>
      </c>
      <c r="B74" s="7" t="s">
        <v>162</v>
      </c>
      <c r="C74" s="7" t="s">
        <v>97</v>
      </c>
      <c r="D74" s="7" t="s">
        <v>158</v>
      </c>
      <c r="E74" s="7" t="s">
        <v>159</v>
      </c>
      <c r="F74" s="7" t="s">
        <v>160</v>
      </c>
      <c r="G74" s="7" t="s">
        <v>39</v>
      </c>
      <c r="H74" s="7" t="n">
        <v>33</v>
      </c>
      <c r="I74" s="7" t="n">
        <v>40</v>
      </c>
      <c r="J74" s="7" t="n">
        <v>24</v>
      </c>
      <c r="K74" s="7" t="n">
        <v>119</v>
      </c>
      <c r="L74" s="7" t="n">
        <v>0</v>
      </c>
      <c r="M74" s="22" t="n">
        <v>0</v>
      </c>
      <c r="N74" s="3"/>
      <c r="O74" s="3"/>
      <c r="P74" s="3"/>
    </row>
    <row r="75" customFormat="false" ht="15.75" hidden="false" customHeight="true" outlineLevel="0" collapsed="false">
      <c r="A75" s="8" t="n">
        <v>46154</v>
      </c>
      <c r="B75" s="7" t="s">
        <v>163</v>
      </c>
      <c r="C75" s="7" t="s">
        <v>97</v>
      </c>
      <c r="D75" s="7" t="s">
        <v>158</v>
      </c>
      <c r="E75" s="7" t="s">
        <v>159</v>
      </c>
      <c r="F75" s="7" t="s">
        <v>160</v>
      </c>
      <c r="G75" s="7" t="s">
        <v>39</v>
      </c>
      <c r="H75" s="7" t="n">
        <v>34</v>
      </c>
      <c r="I75" s="7" t="n">
        <v>41</v>
      </c>
      <c r="J75" s="7" t="n">
        <v>24</v>
      </c>
      <c r="K75" s="7" t="n">
        <v>122</v>
      </c>
      <c r="L75" s="7" t="n">
        <v>0</v>
      </c>
      <c r="M75" s="22" t="n">
        <v>0</v>
      </c>
      <c r="N75" s="3"/>
      <c r="O75" s="3"/>
      <c r="P75" s="3"/>
    </row>
    <row r="76" customFormat="false" ht="15.75" hidden="false" customHeight="true" outlineLevel="0" collapsed="false">
      <c r="A76" s="8" t="n">
        <v>46154</v>
      </c>
      <c r="B76" s="7" t="s">
        <v>164</v>
      </c>
      <c r="C76" s="7" t="s">
        <v>87</v>
      </c>
      <c r="D76" s="7" t="s">
        <v>158</v>
      </c>
      <c r="E76" s="7" t="s">
        <v>159</v>
      </c>
      <c r="F76" s="7" t="s">
        <v>160</v>
      </c>
      <c r="G76" s="7" t="s">
        <v>39</v>
      </c>
      <c r="H76" s="7" t="n">
        <v>34</v>
      </c>
      <c r="I76" s="7" t="n">
        <v>42</v>
      </c>
      <c r="J76" s="7" t="n">
        <v>23</v>
      </c>
      <c r="K76" s="7" t="n">
        <v>78</v>
      </c>
      <c r="L76" s="7" t="n">
        <v>0</v>
      </c>
      <c r="M76" s="22" t="n">
        <v>0</v>
      </c>
      <c r="N76" s="3"/>
      <c r="O76" s="3"/>
      <c r="P76" s="3"/>
    </row>
    <row r="77" customFormat="false" ht="15.75" hidden="false" customHeight="true" outlineLevel="0" collapsed="false">
      <c r="A77" s="8" t="n">
        <v>46154</v>
      </c>
      <c r="B77" s="7" t="s">
        <v>166</v>
      </c>
      <c r="C77" s="7" t="s">
        <v>167</v>
      </c>
      <c r="D77" s="7" t="s">
        <v>158</v>
      </c>
      <c r="E77" s="7" t="s">
        <v>159</v>
      </c>
      <c r="F77" s="7" t="s">
        <v>160</v>
      </c>
      <c r="G77" s="7" t="s">
        <v>39</v>
      </c>
      <c r="H77" s="7" t="n">
        <v>13</v>
      </c>
      <c r="I77" s="7" t="n">
        <v>16</v>
      </c>
      <c r="J77" s="7" t="n">
        <v>8</v>
      </c>
      <c r="K77" s="7" t="n">
        <v>69</v>
      </c>
      <c r="L77" s="7" t="n">
        <v>0</v>
      </c>
      <c r="M77" s="22" t="n">
        <v>0</v>
      </c>
      <c r="N77" s="3"/>
      <c r="O77" s="3"/>
      <c r="P77" s="3"/>
    </row>
    <row r="78" customFormat="false" ht="15.75" hidden="false" customHeight="true" outlineLevel="0" collapsed="false">
      <c r="A78" s="8" t="n">
        <v>46155</v>
      </c>
      <c r="B78" s="7" t="s">
        <v>157</v>
      </c>
      <c r="C78" s="7" t="s">
        <v>92</v>
      </c>
      <c r="D78" s="7" t="s">
        <v>158</v>
      </c>
      <c r="E78" s="7" t="s">
        <v>159</v>
      </c>
      <c r="F78" s="7" t="s">
        <v>160</v>
      </c>
      <c r="G78" s="7" t="s">
        <v>39</v>
      </c>
      <c r="H78" s="7" t="n">
        <v>47</v>
      </c>
      <c r="I78" s="7" t="n">
        <v>57</v>
      </c>
      <c r="J78" s="7" t="n">
        <v>37</v>
      </c>
      <c r="K78" s="7" t="n">
        <v>89</v>
      </c>
      <c r="L78" s="7" t="n">
        <v>0</v>
      </c>
      <c r="M78" s="22" t="n">
        <v>0</v>
      </c>
      <c r="N78" s="3"/>
      <c r="O78" s="3"/>
      <c r="P78" s="3"/>
    </row>
    <row r="79" customFormat="false" ht="15.75" hidden="false" customHeight="true" outlineLevel="0" collapsed="false">
      <c r="A79" s="8" t="n">
        <v>46155</v>
      </c>
      <c r="B79" s="7" t="s">
        <v>161</v>
      </c>
      <c r="C79" s="7" t="s">
        <v>92</v>
      </c>
      <c r="D79" s="7" t="s">
        <v>158</v>
      </c>
      <c r="E79" s="7" t="s">
        <v>159</v>
      </c>
      <c r="F79" s="7" t="s">
        <v>160</v>
      </c>
      <c r="G79" s="7" t="s">
        <v>39</v>
      </c>
      <c r="H79" s="7" t="n">
        <v>50</v>
      </c>
      <c r="I79" s="7" t="n">
        <v>61</v>
      </c>
      <c r="J79" s="7" t="n">
        <v>40</v>
      </c>
      <c r="K79" s="7" t="n">
        <v>89</v>
      </c>
      <c r="L79" s="7" t="n">
        <v>0</v>
      </c>
      <c r="M79" s="22" t="n">
        <v>0</v>
      </c>
      <c r="N79" s="3"/>
      <c r="O79" s="3"/>
      <c r="P79" s="3"/>
    </row>
    <row r="80" customFormat="false" ht="15.75" hidden="false" customHeight="true" outlineLevel="0" collapsed="false">
      <c r="A80" s="8" t="n">
        <v>46155</v>
      </c>
      <c r="B80" s="7" t="s">
        <v>162</v>
      </c>
      <c r="C80" s="7" t="s">
        <v>97</v>
      </c>
      <c r="D80" s="7" t="s">
        <v>158</v>
      </c>
      <c r="E80" s="7" t="s">
        <v>159</v>
      </c>
      <c r="F80" s="7" t="s">
        <v>160</v>
      </c>
      <c r="G80" s="7" t="s">
        <v>39</v>
      </c>
      <c r="H80" s="7" t="n">
        <v>39</v>
      </c>
      <c r="I80" s="7" t="n">
        <v>47</v>
      </c>
      <c r="J80" s="7" t="n">
        <v>28</v>
      </c>
      <c r="K80" s="7" t="n">
        <v>99</v>
      </c>
      <c r="L80" s="7" t="n">
        <v>0</v>
      </c>
      <c r="M80" s="22" t="n">
        <v>0</v>
      </c>
      <c r="N80" s="3"/>
      <c r="O80" s="3"/>
      <c r="P80" s="3"/>
    </row>
    <row r="81" customFormat="false" ht="15.75" hidden="false" customHeight="true" outlineLevel="0" collapsed="false">
      <c r="A81" s="8" t="n">
        <v>46155</v>
      </c>
      <c r="B81" s="7" t="s">
        <v>163</v>
      </c>
      <c r="C81" s="7" t="s">
        <v>97</v>
      </c>
      <c r="D81" s="7" t="s">
        <v>158</v>
      </c>
      <c r="E81" s="7" t="s">
        <v>159</v>
      </c>
      <c r="F81" s="7" t="s">
        <v>160</v>
      </c>
      <c r="G81" s="7" t="s">
        <v>39</v>
      </c>
      <c r="H81" s="7" t="n">
        <v>36</v>
      </c>
      <c r="I81" s="7" t="n">
        <v>44</v>
      </c>
      <c r="J81" s="7" t="n">
        <v>26</v>
      </c>
      <c r="K81" s="7" t="n">
        <v>103</v>
      </c>
      <c r="L81" s="7" t="n">
        <v>0</v>
      </c>
      <c r="M81" s="22" t="n">
        <v>0</v>
      </c>
      <c r="N81" s="3"/>
      <c r="O81" s="3"/>
      <c r="P81" s="3"/>
    </row>
    <row r="82" customFormat="false" ht="15.75" hidden="false" customHeight="true" outlineLevel="0" collapsed="false">
      <c r="A82" s="8" t="n">
        <v>46155</v>
      </c>
      <c r="B82" s="7" t="s">
        <v>164</v>
      </c>
      <c r="C82" s="7" t="s">
        <v>87</v>
      </c>
      <c r="D82" s="7" t="s">
        <v>158</v>
      </c>
      <c r="E82" s="7" t="s">
        <v>159</v>
      </c>
      <c r="F82" s="7" t="s">
        <v>160</v>
      </c>
      <c r="G82" s="7" t="s">
        <v>39</v>
      </c>
      <c r="H82" s="7" t="n">
        <v>29</v>
      </c>
      <c r="I82" s="7" t="n">
        <v>36</v>
      </c>
      <c r="J82" s="7" t="n">
        <v>20</v>
      </c>
      <c r="K82" s="7" t="n">
        <v>69</v>
      </c>
      <c r="L82" s="7" t="n">
        <v>0</v>
      </c>
      <c r="M82" s="22" t="n">
        <v>0</v>
      </c>
      <c r="N82" s="3"/>
      <c r="O82" s="3"/>
      <c r="P82" s="3"/>
    </row>
    <row r="83" customFormat="false" ht="15.75" hidden="false" customHeight="true" outlineLevel="0" collapsed="false">
      <c r="A83" s="8" t="n">
        <v>46155</v>
      </c>
      <c r="B83" s="7" t="s">
        <v>166</v>
      </c>
      <c r="C83" s="7" t="s">
        <v>167</v>
      </c>
      <c r="D83" s="7" t="s">
        <v>158</v>
      </c>
      <c r="E83" s="7" t="s">
        <v>159</v>
      </c>
      <c r="F83" s="7" t="s">
        <v>160</v>
      </c>
      <c r="G83" s="7" t="s">
        <v>39</v>
      </c>
      <c r="H83" s="7" t="n">
        <v>19</v>
      </c>
      <c r="I83" s="7" t="n">
        <v>24</v>
      </c>
      <c r="J83" s="7" t="n">
        <v>13</v>
      </c>
      <c r="K83" s="7" t="n">
        <v>78</v>
      </c>
      <c r="L83" s="7" t="n">
        <v>0</v>
      </c>
      <c r="M83" s="22" t="n">
        <v>0</v>
      </c>
      <c r="N83" s="3"/>
      <c r="O83" s="3"/>
      <c r="P83" s="3"/>
    </row>
    <row r="84" customFormat="false" ht="15.75" hidden="false" customHeight="true" outlineLevel="0" collapsed="false">
      <c r="A84" s="8" t="n">
        <v>46156</v>
      </c>
      <c r="B84" s="7" t="s">
        <v>157</v>
      </c>
      <c r="C84" s="7" t="s">
        <v>92</v>
      </c>
      <c r="D84" s="7" t="s">
        <v>158</v>
      </c>
      <c r="E84" s="7" t="s">
        <v>159</v>
      </c>
      <c r="F84" s="7" t="s">
        <v>165</v>
      </c>
      <c r="G84" s="7" t="s">
        <v>39</v>
      </c>
      <c r="H84" s="7" t="n">
        <v>53</v>
      </c>
      <c r="I84" s="7" t="n">
        <v>65</v>
      </c>
      <c r="J84" s="7" t="n">
        <v>42</v>
      </c>
      <c r="K84" s="7" t="n">
        <v>93</v>
      </c>
      <c r="L84" s="7" t="n">
        <v>0</v>
      </c>
      <c r="M84" s="22" t="n">
        <v>0</v>
      </c>
      <c r="N84" s="3"/>
      <c r="O84" s="3"/>
      <c r="P84" s="3"/>
    </row>
    <row r="85" customFormat="false" ht="15.75" hidden="false" customHeight="true" outlineLevel="0" collapsed="false">
      <c r="A85" s="8" t="n">
        <v>46156</v>
      </c>
      <c r="B85" s="7" t="s">
        <v>161</v>
      </c>
      <c r="C85" s="7" t="s">
        <v>92</v>
      </c>
      <c r="D85" s="7" t="s">
        <v>158</v>
      </c>
      <c r="E85" s="7" t="s">
        <v>159</v>
      </c>
      <c r="F85" s="7" t="s">
        <v>160</v>
      </c>
      <c r="G85" s="7" t="s">
        <v>39</v>
      </c>
      <c r="H85" s="7" t="n">
        <v>48</v>
      </c>
      <c r="I85" s="7" t="n">
        <v>59</v>
      </c>
      <c r="J85" s="7" t="n">
        <v>38</v>
      </c>
      <c r="K85" s="7" t="n">
        <v>102</v>
      </c>
      <c r="L85" s="7" t="n">
        <v>0</v>
      </c>
      <c r="M85" s="22" t="n">
        <v>0</v>
      </c>
      <c r="N85" s="3"/>
      <c r="O85" s="3"/>
      <c r="P85" s="3"/>
    </row>
    <row r="86" customFormat="false" ht="15.75" hidden="false" customHeight="true" outlineLevel="0" collapsed="false">
      <c r="A86" s="8" t="n">
        <v>46156</v>
      </c>
      <c r="B86" s="7" t="s">
        <v>162</v>
      </c>
      <c r="C86" s="7" t="s">
        <v>97</v>
      </c>
      <c r="D86" s="7" t="s">
        <v>158</v>
      </c>
      <c r="E86" s="7" t="s">
        <v>159</v>
      </c>
      <c r="F86" s="7" t="s">
        <v>160</v>
      </c>
      <c r="G86" s="7" t="s">
        <v>39</v>
      </c>
      <c r="H86" s="7" t="n">
        <v>36</v>
      </c>
      <c r="I86" s="7" t="n">
        <v>44</v>
      </c>
      <c r="J86" s="7" t="n">
        <v>26</v>
      </c>
      <c r="K86" s="7" t="n">
        <v>116</v>
      </c>
      <c r="L86" s="7" t="n">
        <v>0</v>
      </c>
      <c r="M86" s="22" t="n">
        <v>0</v>
      </c>
      <c r="N86" s="3"/>
      <c r="O86" s="3"/>
      <c r="P86" s="3"/>
    </row>
    <row r="87" customFormat="false" ht="15.75" hidden="false" customHeight="true" outlineLevel="0" collapsed="false">
      <c r="A87" s="8" t="n">
        <v>46156</v>
      </c>
      <c r="B87" s="7" t="s">
        <v>163</v>
      </c>
      <c r="C87" s="7" t="s">
        <v>97</v>
      </c>
      <c r="D87" s="7" t="s">
        <v>158</v>
      </c>
      <c r="E87" s="7" t="s">
        <v>159</v>
      </c>
      <c r="F87" s="7" t="s">
        <v>160</v>
      </c>
      <c r="G87" s="7" t="s">
        <v>39</v>
      </c>
      <c r="H87" s="7" t="n">
        <v>44</v>
      </c>
      <c r="I87" s="7" t="n">
        <v>54</v>
      </c>
      <c r="J87" s="7" t="n">
        <v>32</v>
      </c>
      <c r="K87" s="7" t="n">
        <v>98</v>
      </c>
      <c r="L87" s="7" t="n">
        <v>0</v>
      </c>
      <c r="M87" s="22" t="n">
        <v>0</v>
      </c>
      <c r="N87" s="3"/>
      <c r="O87" s="3"/>
      <c r="P87" s="3"/>
    </row>
    <row r="88" customFormat="false" ht="15.75" hidden="false" customHeight="true" outlineLevel="0" collapsed="false">
      <c r="A88" s="8" t="n">
        <v>46156</v>
      </c>
      <c r="B88" s="7" t="s">
        <v>164</v>
      </c>
      <c r="C88" s="7" t="s">
        <v>87</v>
      </c>
      <c r="D88" s="7" t="s">
        <v>158</v>
      </c>
      <c r="E88" s="7" t="s">
        <v>159</v>
      </c>
      <c r="F88" s="7" t="s">
        <v>165</v>
      </c>
      <c r="G88" s="7" t="s">
        <v>39</v>
      </c>
      <c r="H88" s="7" t="n">
        <v>34</v>
      </c>
      <c r="I88" s="7" t="n">
        <v>42</v>
      </c>
      <c r="J88" s="7" t="n">
        <v>23</v>
      </c>
      <c r="K88" s="7" t="n">
        <v>69</v>
      </c>
      <c r="L88" s="7" t="n">
        <v>0</v>
      </c>
      <c r="M88" s="22" t="n">
        <v>0</v>
      </c>
      <c r="N88" s="3"/>
      <c r="O88" s="3"/>
      <c r="P88" s="3"/>
    </row>
    <row r="89" customFormat="false" ht="15.75" hidden="false" customHeight="true" outlineLevel="0" collapsed="false">
      <c r="A89" s="8" t="n">
        <v>46156</v>
      </c>
      <c r="B89" s="7" t="s">
        <v>166</v>
      </c>
      <c r="C89" s="7" t="s">
        <v>167</v>
      </c>
      <c r="D89" s="7" t="s">
        <v>158</v>
      </c>
      <c r="E89" s="7" t="s">
        <v>159</v>
      </c>
      <c r="F89" s="7" t="s">
        <v>160</v>
      </c>
      <c r="G89" s="7" t="s">
        <v>39</v>
      </c>
      <c r="H89" s="7" t="n">
        <v>13</v>
      </c>
      <c r="I89" s="7" t="n">
        <v>16</v>
      </c>
      <c r="J89" s="7" t="n">
        <v>8</v>
      </c>
      <c r="K89" s="7" t="n">
        <v>70</v>
      </c>
      <c r="L89" s="7" t="n">
        <v>0</v>
      </c>
      <c r="M89" s="22" t="n">
        <v>0</v>
      </c>
      <c r="N89" s="3"/>
      <c r="O89" s="3"/>
      <c r="P89" s="3"/>
    </row>
    <row r="90" customFormat="false" ht="15.75" hidden="false" customHeight="true" outlineLevel="0" collapsed="false">
      <c r="A90" s="8" t="n">
        <v>46157</v>
      </c>
      <c r="B90" s="7" t="s">
        <v>157</v>
      </c>
      <c r="C90" s="7" t="s">
        <v>92</v>
      </c>
      <c r="D90" s="7" t="s">
        <v>158</v>
      </c>
      <c r="E90" s="7" t="s">
        <v>159</v>
      </c>
      <c r="F90" s="7" t="s">
        <v>160</v>
      </c>
      <c r="G90" s="7" t="s">
        <v>39</v>
      </c>
      <c r="H90" s="7" t="n">
        <v>43</v>
      </c>
      <c r="I90" s="7" t="n">
        <v>52</v>
      </c>
      <c r="J90" s="7" t="n">
        <v>34</v>
      </c>
      <c r="K90" s="7" t="n">
        <v>103</v>
      </c>
      <c r="L90" s="7" t="n">
        <v>0</v>
      </c>
      <c r="M90" s="22" t="n">
        <v>0</v>
      </c>
      <c r="N90" s="3"/>
      <c r="O90" s="3"/>
      <c r="P90" s="3"/>
    </row>
    <row r="91" customFormat="false" ht="15.75" hidden="false" customHeight="true" outlineLevel="0" collapsed="false">
      <c r="A91" s="8" t="n">
        <v>46157</v>
      </c>
      <c r="B91" s="7" t="s">
        <v>161</v>
      </c>
      <c r="C91" s="7" t="s">
        <v>92</v>
      </c>
      <c r="D91" s="7" t="s">
        <v>158</v>
      </c>
      <c r="E91" s="7" t="s">
        <v>159</v>
      </c>
      <c r="F91" s="7" t="s">
        <v>165</v>
      </c>
      <c r="G91" s="7" t="s">
        <v>39</v>
      </c>
      <c r="H91" s="7" t="n">
        <v>56</v>
      </c>
      <c r="I91" s="7" t="n">
        <v>68</v>
      </c>
      <c r="J91" s="7" t="n">
        <v>44</v>
      </c>
      <c r="K91" s="7" t="n">
        <v>103</v>
      </c>
      <c r="L91" s="7" t="n">
        <v>0</v>
      </c>
      <c r="M91" s="22" t="n">
        <v>0</v>
      </c>
      <c r="N91" s="3"/>
      <c r="O91" s="3"/>
      <c r="P91" s="3"/>
    </row>
    <row r="92" customFormat="false" ht="15.75" hidden="false" customHeight="true" outlineLevel="0" collapsed="false">
      <c r="A92" s="8" t="n">
        <v>46157</v>
      </c>
      <c r="B92" s="7" t="s">
        <v>162</v>
      </c>
      <c r="C92" s="7" t="s">
        <v>97</v>
      </c>
      <c r="D92" s="7" t="s">
        <v>158</v>
      </c>
      <c r="E92" s="7" t="s">
        <v>159</v>
      </c>
      <c r="F92" s="7" t="s">
        <v>160</v>
      </c>
      <c r="G92" s="7" t="s">
        <v>39</v>
      </c>
      <c r="H92" s="7" t="n">
        <v>31</v>
      </c>
      <c r="I92" s="7" t="n">
        <v>38</v>
      </c>
      <c r="J92" s="7" t="n">
        <v>22</v>
      </c>
      <c r="K92" s="7" t="n">
        <v>119</v>
      </c>
      <c r="L92" s="7" t="n">
        <v>0</v>
      </c>
      <c r="M92" s="22" t="n">
        <v>0</v>
      </c>
      <c r="N92" s="3"/>
      <c r="O92" s="3"/>
      <c r="P92" s="3"/>
    </row>
    <row r="93" customFormat="false" ht="15.75" hidden="false" customHeight="true" outlineLevel="0" collapsed="false">
      <c r="A93" s="8" t="n">
        <v>46157</v>
      </c>
      <c r="B93" s="7" t="s">
        <v>163</v>
      </c>
      <c r="C93" s="7" t="s">
        <v>97</v>
      </c>
      <c r="D93" s="7" t="s">
        <v>158</v>
      </c>
      <c r="E93" s="7" t="s">
        <v>159</v>
      </c>
      <c r="F93" s="7" t="s">
        <v>160</v>
      </c>
      <c r="G93" s="7" t="s">
        <v>39</v>
      </c>
      <c r="H93" s="7" t="n">
        <v>42</v>
      </c>
      <c r="I93" s="7" t="n">
        <v>51</v>
      </c>
      <c r="J93" s="7" t="n">
        <v>30</v>
      </c>
      <c r="K93" s="7" t="n">
        <v>106</v>
      </c>
      <c r="L93" s="7" t="n">
        <v>0</v>
      </c>
      <c r="M93" s="22" t="n">
        <v>0</v>
      </c>
      <c r="N93" s="3"/>
      <c r="O93" s="3"/>
      <c r="P93" s="3"/>
    </row>
    <row r="94" customFormat="false" ht="15.75" hidden="false" customHeight="true" outlineLevel="0" collapsed="false">
      <c r="A94" s="8" t="n">
        <v>46157</v>
      </c>
      <c r="B94" s="7" t="s">
        <v>164</v>
      </c>
      <c r="C94" s="7" t="s">
        <v>87</v>
      </c>
      <c r="D94" s="7" t="s">
        <v>158</v>
      </c>
      <c r="E94" s="7" t="s">
        <v>159</v>
      </c>
      <c r="F94" s="7" t="s">
        <v>160</v>
      </c>
      <c r="G94" s="7" t="s">
        <v>39</v>
      </c>
      <c r="H94" s="7" t="n">
        <v>35</v>
      </c>
      <c r="I94" s="7" t="n">
        <v>43</v>
      </c>
      <c r="J94" s="7" t="n">
        <v>24</v>
      </c>
      <c r="K94" s="7" t="n">
        <v>80</v>
      </c>
      <c r="L94" s="7" t="n">
        <v>0</v>
      </c>
      <c r="M94" s="22" t="n">
        <v>0</v>
      </c>
      <c r="N94" s="3"/>
      <c r="O94" s="3"/>
      <c r="P94" s="3"/>
    </row>
    <row r="95" customFormat="false" ht="15.75" hidden="false" customHeight="true" outlineLevel="0" collapsed="false">
      <c r="A95" s="8" t="n">
        <v>46157</v>
      </c>
      <c r="B95" s="7" t="s">
        <v>166</v>
      </c>
      <c r="C95" s="7" t="s">
        <v>167</v>
      </c>
      <c r="D95" s="7" t="s">
        <v>158</v>
      </c>
      <c r="E95" s="7" t="s">
        <v>159</v>
      </c>
      <c r="F95" s="7" t="s">
        <v>160</v>
      </c>
      <c r="G95" s="7" t="s">
        <v>39</v>
      </c>
      <c r="H95" s="7" t="n">
        <v>12</v>
      </c>
      <c r="I95" s="7" t="n">
        <v>15</v>
      </c>
      <c r="J95" s="7" t="n">
        <v>8</v>
      </c>
      <c r="K95" s="7" t="n">
        <v>71</v>
      </c>
      <c r="L95" s="7" t="n">
        <v>0</v>
      </c>
      <c r="M95" s="22" t="n">
        <v>0</v>
      </c>
      <c r="N95" s="3"/>
      <c r="O95" s="3"/>
      <c r="P95" s="3"/>
    </row>
    <row r="96" customFormat="false" ht="15.75" hidden="false" customHeight="true" outlineLevel="0" collapsed="false">
      <c r="A96" s="8" t="n">
        <v>46158</v>
      </c>
      <c r="B96" s="7" t="s">
        <v>157</v>
      </c>
      <c r="C96" s="7" t="s">
        <v>92</v>
      </c>
      <c r="D96" s="7" t="s">
        <v>158</v>
      </c>
      <c r="E96" s="7" t="s">
        <v>159</v>
      </c>
      <c r="F96" s="7" t="s">
        <v>165</v>
      </c>
      <c r="G96" s="7" t="s">
        <v>39</v>
      </c>
      <c r="H96" s="7" t="n">
        <v>55</v>
      </c>
      <c r="I96" s="7" t="n">
        <v>67</v>
      </c>
      <c r="J96" s="7" t="n">
        <v>44</v>
      </c>
      <c r="K96" s="7" t="n">
        <v>99</v>
      </c>
      <c r="L96" s="7" t="n">
        <v>0</v>
      </c>
      <c r="M96" s="22" t="n">
        <v>0</v>
      </c>
      <c r="N96" s="3"/>
      <c r="O96" s="3"/>
      <c r="P96" s="3"/>
    </row>
    <row r="97" customFormat="false" ht="15.75" hidden="false" customHeight="true" outlineLevel="0" collapsed="false">
      <c r="A97" s="8" t="n">
        <v>46158</v>
      </c>
      <c r="B97" s="7" t="s">
        <v>161</v>
      </c>
      <c r="C97" s="7" t="s">
        <v>92</v>
      </c>
      <c r="D97" s="7" t="s">
        <v>158</v>
      </c>
      <c r="E97" s="7" t="s">
        <v>159</v>
      </c>
      <c r="F97" s="7" t="s">
        <v>165</v>
      </c>
      <c r="G97" s="7" t="s">
        <v>39</v>
      </c>
      <c r="H97" s="7" t="n">
        <v>46</v>
      </c>
      <c r="I97" s="7" t="n">
        <v>56</v>
      </c>
      <c r="J97" s="7" t="n">
        <v>36</v>
      </c>
      <c r="K97" s="7" t="n">
        <v>95</v>
      </c>
      <c r="L97" s="7" t="n">
        <v>0</v>
      </c>
      <c r="M97" s="22" t="n">
        <v>0</v>
      </c>
      <c r="N97" s="3"/>
      <c r="O97" s="3"/>
      <c r="P97" s="3"/>
    </row>
    <row r="98" customFormat="false" ht="15.75" hidden="false" customHeight="true" outlineLevel="0" collapsed="false">
      <c r="A98" s="8" t="n">
        <v>46158</v>
      </c>
      <c r="B98" s="7" t="s">
        <v>162</v>
      </c>
      <c r="C98" s="7" t="s">
        <v>97</v>
      </c>
      <c r="D98" s="7" t="s">
        <v>158</v>
      </c>
      <c r="E98" s="7" t="s">
        <v>159</v>
      </c>
      <c r="F98" s="7" t="s">
        <v>165</v>
      </c>
      <c r="G98" s="7" t="s">
        <v>39</v>
      </c>
      <c r="H98" s="7" t="n">
        <v>35</v>
      </c>
      <c r="I98" s="7" t="n">
        <v>43</v>
      </c>
      <c r="J98" s="7" t="n">
        <v>25</v>
      </c>
      <c r="K98" s="7" t="n">
        <v>100</v>
      </c>
      <c r="L98" s="7" t="n">
        <v>0</v>
      </c>
      <c r="M98" s="22" t="n">
        <v>0</v>
      </c>
      <c r="N98" s="3"/>
      <c r="O98" s="3"/>
      <c r="P98" s="3"/>
    </row>
    <row r="99" customFormat="false" ht="15.75" hidden="false" customHeight="true" outlineLevel="0" collapsed="false">
      <c r="A99" s="8" t="n">
        <v>46158</v>
      </c>
      <c r="B99" s="7" t="s">
        <v>163</v>
      </c>
      <c r="C99" s="7" t="s">
        <v>97</v>
      </c>
      <c r="D99" s="7" t="s">
        <v>158</v>
      </c>
      <c r="E99" s="7" t="s">
        <v>159</v>
      </c>
      <c r="F99" s="7" t="s">
        <v>160</v>
      </c>
      <c r="G99" s="7" t="s">
        <v>39</v>
      </c>
      <c r="H99" s="7" t="n">
        <v>39</v>
      </c>
      <c r="I99" s="7" t="n">
        <v>48</v>
      </c>
      <c r="J99" s="7" t="n">
        <v>28</v>
      </c>
      <c r="K99" s="7" t="n">
        <v>102</v>
      </c>
      <c r="L99" s="7" t="n">
        <v>0</v>
      </c>
      <c r="M99" s="22" t="n">
        <v>0</v>
      </c>
      <c r="N99" s="3"/>
      <c r="O99" s="3"/>
      <c r="P99" s="3"/>
    </row>
    <row r="100" customFormat="false" ht="15.75" hidden="false" customHeight="true" outlineLevel="0" collapsed="false">
      <c r="A100" s="8" t="n">
        <v>46158</v>
      </c>
      <c r="B100" s="7" t="s">
        <v>164</v>
      </c>
      <c r="C100" s="7" t="s">
        <v>87</v>
      </c>
      <c r="D100" s="7" t="s">
        <v>158</v>
      </c>
      <c r="E100" s="7" t="s">
        <v>159</v>
      </c>
      <c r="F100" s="7" t="s">
        <v>160</v>
      </c>
      <c r="G100" s="7" t="s">
        <v>39</v>
      </c>
      <c r="H100" s="7" t="n">
        <v>23</v>
      </c>
      <c r="I100" s="7" t="n">
        <v>28</v>
      </c>
      <c r="J100" s="7" t="n">
        <v>15</v>
      </c>
      <c r="K100" s="7" t="n">
        <v>75</v>
      </c>
      <c r="L100" s="7" t="n">
        <v>0</v>
      </c>
      <c r="M100" s="22" t="n">
        <v>0</v>
      </c>
      <c r="N100" s="3"/>
      <c r="O100" s="3"/>
      <c r="P100" s="3"/>
    </row>
    <row r="101" customFormat="false" ht="15.75" hidden="false" customHeight="true" outlineLevel="0" collapsed="false">
      <c r="A101" s="8" t="n">
        <v>46158</v>
      </c>
      <c r="B101" s="7" t="s">
        <v>166</v>
      </c>
      <c r="C101" s="7" t="s">
        <v>167</v>
      </c>
      <c r="D101" s="7" t="s">
        <v>158</v>
      </c>
      <c r="E101" s="7" t="s">
        <v>159</v>
      </c>
      <c r="F101" s="7" t="s">
        <v>160</v>
      </c>
      <c r="G101" s="7" t="s">
        <v>39</v>
      </c>
      <c r="H101" s="7" t="n">
        <v>19</v>
      </c>
      <c r="I101" s="7" t="n">
        <v>24</v>
      </c>
      <c r="J101" s="7" t="n">
        <v>13</v>
      </c>
      <c r="K101" s="7" t="n">
        <v>73</v>
      </c>
      <c r="L101" s="7" t="n">
        <v>0</v>
      </c>
      <c r="M101" s="22" t="n">
        <v>0</v>
      </c>
      <c r="N101" s="3"/>
      <c r="O101" s="3"/>
      <c r="P101" s="3"/>
    </row>
    <row r="102" customFormat="false" ht="15.75" hidden="false" customHeight="true" outlineLevel="0" collapsed="false">
      <c r="A102" s="8" t="n">
        <v>46159</v>
      </c>
      <c r="B102" s="7" t="s">
        <v>157</v>
      </c>
      <c r="C102" s="7" t="s">
        <v>92</v>
      </c>
      <c r="D102" s="7" t="s">
        <v>158</v>
      </c>
      <c r="E102" s="7" t="s">
        <v>159</v>
      </c>
      <c r="F102" s="7" t="s">
        <v>165</v>
      </c>
      <c r="G102" s="7" t="s">
        <v>39</v>
      </c>
      <c r="H102" s="7" t="n">
        <v>47</v>
      </c>
      <c r="I102" s="7" t="n">
        <v>57</v>
      </c>
      <c r="J102" s="7" t="n">
        <v>37</v>
      </c>
      <c r="K102" s="7" t="n">
        <v>86</v>
      </c>
      <c r="L102" s="7" t="n">
        <v>0</v>
      </c>
      <c r="M102" s="22" t="n">
        <v>0</v>
      </c>
      <c r="N102" s="3"/>
      <c r="O102" s="3"/>
      <c r="P102" s="3"/>
    </row>
    <row r="103" customFormat="false" ht="15.75" hidden="false" customHeight="true" outlineLevel="0" collapsed="false">
      <c r="A103" s="8" t="n">
        <v>46159</v>
      </c>
      <c r="B103" s="7" t="s">
        <v>161</v>
      </c>
      <c r="C103" s="7" t="s">
        <v>92</v>
      </c>
      <c r="D103" s="7" t="s">
        <v>158</v>
      </c>
      <c r="E103" s="7" t="s">
        <v>159</v>
      </c>
      <c r="F103" s="7" t="s">
        <v>165</v>
      </c>
      <c r="G103" s="7" t="s">
        <v>39</v>
      </c>
      <c r="H103" s="7" t="n">
        <v>44</v>
      </c>
      <c r="I103" s="7" t="n">
        <v>54</v>
      </c>
      <c r="J103" s="7" t="n">
        <v>35</v>
      </c>
      <c r="K103" s="7" t="n">
        <v>89</v>
      </c>
      <c r="L103" s="7" t="n">
        <v>0</v>
      </c>
      <c r="M103" s="22" t="n">
        <v>0</v>
      </c>
      <c r="N103" s="3"/>
      <c r="O103" s="3"/>
      <c r="P103" s="3"/>
    </row>
    <row r="104" customFormat="false" ht="15.75" hidden="false" customHeight="true" outlineLevel="0" collapsed="false">
      <c r="A104" s="8" t="n">
        <v>46159</v>
      </c>
      <c r="B104" s="7" t="s">
        <v>162</v>
      </c>
      <c r="C104" s="7" t="s">
        <v>97</v>
      </c>
      <c r="D104" s="7" t="s">
        <v>158</v>
      </c>
      <c r="E104" s="7" t="s">
        <v>159</v>
      </c>
      <c r="F104" s="7" t="s">
        <v>165</v>
      </c>
      <c r="G104" s="7" t="s">
        <v>39</v>
      </c>
      <c r="H104" s="7" t="n">
        <v>31</v>
      </c>
      <c r="I104" s="7" t="n">
        <v>38</v>
      </c>
      <c r="J104" s="7" t="n">
        <v>22</v>
      </c>
      <c r="K104" s="7" t="n">
        <v>107</v>
      </c>
      <c r="L104" s="7" t="n">
        <v>0</v>
      </c>
      <c r="M104" s="22" t="n">
        <v>0</v>
      </c>
      <c r="N104" s="3"/>
      <c r="O104" s="3"/>
      <c r="P104" s="3"/>
    </row>
    <row r="105" customFormat="false" ht="15.75" hidden="false" customHeight="true" outlineLevel="0" collapsed="false">
      <c r="A105" s="8" t="n">
        <v>46159</v>
      </c>
      <c r="B105" s="7" t="s">
        <v>163</v>
      </c>
      <c r="C105" s="7" t="s">
        <v>97</v>
      </c>
      <c r="D105" s="7" t="s">
        <v>158</v>
      </c>
      <c r="E105" s="7" t="s">
        <v>159</v>
      </c>
      <c r="F105" s="7" t="s">
        <v>165</v>
      </c>
      <c r="G105" s="7" t="s">
        <v>39</v>
      </c>
      <c r="H105" s="7" t="n">
        <v>38</v>
      </c>
      <c r="I105" s="7" t="n">
        <v>46</v>
      </c>
      <c r="J105" s="7" t="n">
        <v>27</v>
      </c>
      <c r="K105" s="7" t="n">
        <v>106</v>
      </c>
      <c r="L105" s="7" t="n">
        <v>0</v>
      </c>
      <c r="M105" s="22" t="n">
        <v>0</v>
      </c>
      <c r="N105" s="3"/>
      <c r="O105" s="3"/>
      <c r="P105" s="3"/>
    </row>
    <row r="106" customFormat="false" ht="15.75" hidden="false" customHeight="true" outlineLevel="0" collapsed="false">
      <c r="A106" s="8" t="n">
        <v>46159</v>
      </c>
      <c r="B106" s="7" t="s">
        <v>164</v>
      </c>
      <c r="C106" s="7" t="s">
        <v>87</v>
      </c>
      <c r="D106" s="7" t="s">
        <v>158</v>
      </c>
      <c r="E106" s="7" t="s">
        <v>159</v>
      </c>
      <c r="F106" s="7" t="s">
        <v>160</v>
      </c>
      <c r="G106" s="7" t="s">
        <v>39</v>
      </c>
      <c r="H106" s="7" t="n">
        <v>32</v>
      </c>
      <c r="I106" s="7" t="n">
        <v>39</v>
      </c>
      <c r="J106" s="7" t="n">
        <v>21</v>
      </c>
      <c r="K106" s="7" t="n">
        <v>79</v>
      </c>
      <c r="L106" s="7" t="n">
        <v>0</v>
      </c>
      <c r="M106" s="22" t="n">
        <v>0</v>
      </c>
      <c r="N106" s="3"/>
      <c r="O106" s="3"/>
      <c r="P106" s="3"/>
    </row>
    <row r="107" customFormat="false" ht="15.75" hidden="false" customHeight="true" outlineLevel="0" collapsed="false">
      <c r="A107" s="8" t="n">
        <v>46159</v>
      </c>
      <c r="B107" s="7" t="s">
        <v>166</v>
      </c>
      <c r="C107" s="7" t="s">
        <v>167</v>
      </c>
      <c r="D107" s="7" t="s">
        <v>158</v>
      </c>
      <c r="E107" s="7" t="s">
        <v>159</v>
      </c>
      <c r="F107" s="7" t="s">
        <v>165</v>
      </c>
      <c r="G107" s="7" t="s">
        <v>39</v>
      </c>
      <c r="H107" s="7" t="n">
        <v>14</v>
      </c>
      <c r="I107" s="7" t="n">
        <v>18</v>
      </c>
      <c r="J107" s="7" t="n">
        <v>10</v>
      </c>
      <c r="K107" s="7" t="n">
        <v>80</v>
      </c>
      <c r="L107" s="7" t="n">
        <v>0</v>
      </c>
      <c r="M107" s="22" t="n">
        <v>0</v>
      </c>
      <c r="N107" s="3"/>
      <c r="O107" s="3"/>
      <c r="P107" s="3"/>
    </row>
    <row r="108" customFormat="false" ht="15.75" hidden="false" customHeight="true" outlineLevel="0" collapsed="false">
      <c r="A108" s="8" t="n">
        <v>46160</v>
      </c>
      <c r="B108" s="7" t="s">
        <v>157</v>
      </c>
      <c r="C108" s="7" t="s">
        <v>92</v>
      </c>
      <c r="D108" s="7" t="s">
        <v>158</v>
      </c>
      <c r="E108" s="7" t="s">
        <v>159</v>
      </c>
      <c r="F108" s="7" t="s">
        <v>165</v>
      </c>
      <c r="G108" s="7" t="s">
        <v>39</v>
      </c>
      <c r="H108" s="7" t="n">
        <v>54</v>
      </c>
      <c r="I108" s="7" t="n">
        <v>66</v>
      </c>
      <c r="J108" s="7" t="n">
        <v>43</v>
      </c>
      <c r="K108" s="7" t="n">
        <v>83</v>
      </c>
      <c r="L108" s="7" t="n">
        <v>0</v>
      </c>
      <c r="M108" s="22" t="n">
        <v>0</v>
      </c>
      <c r="N108" s="3"/>
      <c r="O108" s="3"/>
      <c r="P108" s="3"/>
    </row>
    <row r="109" customFormat="false" ht="15.75" hidden="false" customHeight="true" outlineLevel="0" collapsed="false">
      <c r="A109" s="8" t="n">
        <v>46160</v>
      </c>
      <c r="B109" s="7" t="s">
        <v>161</v>
      </c>
      <c r="C109" s="7" t="s">
        <v>92</v>
      </c>
      <c r="D109" s="7" t="s">
        <v>158</v>
      </c>
      <c r="E109" s="7" t="s">
        <v>159</v>
      </c>
      <c r="F109" s="7" t="s">
        <v>160</v>
      </c>
      <c r="G109" s="7" t="s">
        <v>39</v>
      </c>
      <c r="H109" s="7" t="n">
        <v>43</v>
      </c>
      <c r="I109" s="7" t="n">
        <v>53</v>
      </c>
      <c r="J109" s="7" t="n">
        <v>34</v>
      </c>
      <c r="K109" s="7" t="n">
        <v>96</v>
      </c>
      <c r="L109" s="7" t="n">
        <v>0</v>
      </c>
      <c r="M109" s="22" t="n">
        <v>0</v>
      </c>
      <c r="N109" s="3"/>
      <c r="O109" s="3"/>
      <c r="P109" s="3"/>
    </row>
    <row r="110" customFormat="false" ht="15.75" hidden="false" customHeight="true" outlineLevel="0" collapsed="false">
      <c r="A110" s="8" t="n">
        <v>46160</v>
      </c>
      <c r="B110" s="7" t="s">
        <v>162</v>
      </c>
      <c r="C110" s="7" t="s">
        <v>97</v>
      </c>
      <c r="D110" s="7" t="s">
        <v>158</v>
      </c>
      <c r="E110" s="7" t="s">
        <v>159</v>
      </c>
      <c r="F110" s="7" t="s">
        <v>165</v>
      </c>
      <c r="G110" s="7" t="s">
        <v>39</v>
      </c>
      <c r="H110" s="7" t="n">
        <v>43</v>
      </c>
      <c r="I110" s="7" t="n">
        <v>53</v>
      </c>
      <c r="J110" s="7" t="n">
        <v>31</v>
      </c>
      <c r="K110" s="7" t="n">
        <v>108</v>
      </c>
      <c r="L110" s="7" t="n">
        <v>0</v>
      </c>
      <c r="M110" s="22" t="n">
        <v>0</v>
      </c>
      <c r="N110" s="3"/>
      <c r="O110" s="3"/>
      <c r="P110" s="3"/>
    </row>
    <row r="111" customFormat="false" ht="15.75" hidden="false" customHeight="true" outlineLevel="0" collapsed="false">
      <c r="A111" s="8" t="n">
        <v>46160</v>
      </c>
      <c r="B111" s="7" t="s">
        <v>163</v>
      </c>
      <c r="C111" s="7" t="s">
        <v>97</v>
      </c>
      <c r="D111" s="7" t="s">
        <v>158</v>
      </c>
      <c r="E111" s="7" t="s">
        <v>159</v>
      </c>
      <c r="F111" s="7" t="s">
        <v>165</v>
      </c>
      <c r="G111" s="7" t="s">
        <v>39</v>
      </c>
      <c r="H111" s="7" t="n">
        <v>33</v>
      </c>
      <c r="I111" s="7" t="n">
        <v>40</v>
      </c>
      <c r="J111" s="7" t="n">
        <v>24</v>
      </c>
      <c r="K111" s="7" t="n">
        <v>113</v>
      </c>
      <c r="L111" s="7" t="n">
        <v>0</v>
      </c>
      <c r="M111" s="22" t="n">
        <v>0</v>
      </c>
      <c r="N111" s="3"/>
      <c r="O111" s="3"/>
      <c r="P111" s="3"/>
    </row>
    <row r="112" customFormat="false" ht="15.75" hidden="false" customHeight="true" outlineLevel="0" collapsed="false">
      <c r="A112" s="8" t="n">
        <v>46160</v>
      </c>
      <c r="B112" s="7" t="s">
        <v>164</v>
      </c>
      <c r="C112" s="7" t="s">
        <v>87</v>
      </c>
      <c r="D112" s="7" t="s">
        <v>158</v>
      </c>
      <c r="E112" s="7" t="s">
        <v>159</v>
      </c>
      <c r="F112" s="7" t="s">
        <v>160</v>
      </c>
      <c r="G112" s="7" t="s">
        <v>39</v>
      </c>
      <c r="H112" s="7" t="n">
        <v>36</v>
      </c>
      <c r="I112" s="7" t="n">
        <v>44</v>
      </c>
      <c r="J112" s="7" t="n">
        <v>24</v>
      </c>
      <c r="K112" s="7" t="n">
        <v>84</v>
      </c>
      <c r="L112" s="7" t="n">
        <v>0</v>
      </c>
      <c r="M112" s="22" t="n">
        <v>0</v>
      </c>
      <c r="N112" s="3"/>
      <c r="O112" s="3"/>
      <c r="P112" s="3"/>
    </row>
    <row r="113" customFormat="false" ht="15.75" hidden="false" customHeight="true" outlineLevel="0" collapsed="false">
      <c r="A113" s="8" t="n">
        <v>46160</v>
      </c>
      <c r="B113" s="7" t="s">
        <v>166</v>
      </c>
      <c r="C113" s="7" t="s">
        <v>167</v>
      </c>
      <c r="D113" s="7" t="s">
        <v>158</v>
      </c>
      <c r="E113" s="7" t="s">
        <v>159</v>
      </c>
      <c r="F113" s="7" t="s">
        <v>160</v>
      </c>
      <c r="G113" s="7" t="s">
        <v>39</v>
      </c>
      <c r="H113" s="7" t="n">
        <v>19</v>
      </c>
      <c r="I113" s="7" t="n">
        <v>23</v>
      </c>
      <c r="J113" s="7" t="n">
        <v>12</v>
      </c>
      <c r="K113" s="7" t="n">
        <v>81</v>
      </c>
      <c r="L113" s="7" t="n">
        <v>0</v>
      </c>
      <c r="M113" s="22" t="n">
        <v>0</v>
      </c>
      <c r="N113" s="3"/>
      <c r="O113" s="3"/>
      <c r="P113" s="3"/>
    </row>
    <row r="114" customFormat="false" ht="15.75" hidden="false" customHeight="true" outlineLevel="0" collapsed="false">
      <c r="A114" s="8" t="n">
        <v>46161</v>
      </c>
      <c r="B114" s="7" t="s">
        <v>157</v>
      </c>
      <c r="C114" s="7" t="s">
        <v>92</v>
      </c>
      <c r="D114" s="7" t="s">
        <v>158</v>
      </c>
      <c r="E114" s="7" t="s">
        <v>159</v>
      </c>
      <c r="F114" s="7" t="s">
        <v>160</v>
      </c>
      <c r="G114" s="7" t="s">
        <v>39</v>
      </c>
      <c r="H114" s="7" t="n">
        <v>48</v>
      </c>
      <c r="I114" s="7" t="n">
        <v>58</v>
      </c>
      <c r="J114" s="7" t="n">
        <v>38</v>
      </c>
      <c r="K114" s="7" t="n">
        <v>97</v>
      </c>
      <c r="L114" s="7" t="n">
        <v>0</v>
      </c>
      <c r="M114" s="22" t="n">
        <v>0</v>
      </c>
      <c r="N114" s="3"/>
      <c r="O114" s="3"/>
      <c r="P114" s="3"/>
    </row>
    <row r="115" customFormat="false" ht="15.75" hidden="false" customHeight="true" outlineLevel="0" collapsed="false">
      <c r="A115" s="8" t="n">
        <v>46161</v>
      </c>
      <c r="B115" s="7" t="s">
        <v>161</v>
      </c>
      <c r="C115" s="7" t="s">
        <v>92</v>
      </c>
      <c r="D115" s="7" t="s">
        <v>158</v>
      </c>
      <c r="E115" s="7" t="s">
        <v>159</v>
      </c>
      <c r="F115" s="7" t="s">
        <v>160</v>
      </c>
      <c r="G115" s="7" t="s">
        <v>39</v>
      </c>
      <c r="H115" s="7" t="n">
        <v>56</v>
      </c>
      <c r="I115" s="7" t="n">
        <v>68</v>
      </c>
      <c r="J115" s="7" t="n">
        <v>44</v>
      </c>
      <c r="K115" s="7" t="n">
        <v>103</v>
      </c>
      <c r="L115" s="7" t="n">
        <v>0</v>
      </c>
      <c r="M115" s="22" t="n">
        <v>0</v>
      </c>
      <c r="N115" s="3"/>
      <c r="O115" s="3"/>
      <c r="P115" s="3"/>
    </row>
    <row r="116" customFormat="false" ht="15.75" hidden="false" customHeight="true" outlineLevel="0" collapsed="false">
      <c r="A116" s="8" t="n">
        <v>46161</v>
      </c>
      <c r="B116" s="7" t="s">
        <v>162</v>
      </c>
      <c r="C116" s="7" t="s">
        <v>97</v>
      </c>
      <c r="D116" s="7" t="s">
        <v>158</v>
      </c>
      <c r="E116" s="7" t="s">
        <v>159</v>
      </c>
      <c r="F116" s="7" t="s">
        <v>160</v>
      </c>
      <c r="G116" s="7" t="s">
        <v>39</v>
      </c>
      <c r="H116" s="7" t="n">
        <v>43</v>
      </c>
      <c r="I116" s="7" t="n">
        <v>53</v>
      </c>
      <c r="J116" s="7" t="n">
        <v>31</v>
      </c>
      <c r="K116" s="7" t="n">
        <v>106</v>
      </c>
      <c r="L116" s="7" t="n">
        <v>0</v>
      </c>
      <c r="M116" s="22" t="n">
        <v>0</v>
      </c>
      <c r="N116" s="3"/>
      <c r="O116" s="3"/>
      <c r="P116" s="3"/>
    </row>
    <row r="117" customFormat="false" ht="15.75" hidden="false" customHeight="true" outlineLevel="0" collapsed="false">
      <c r="A117" s="8" t="n">
        <v>46161</v>
      </c>
      <c r="B117" s="7" t="s">
        <v>163</v>
      </c>
      <c r="C117" s="7" t="s">
        <v>97</v>
      </c>
      <c r="D117" s="7" t="s">
        <v>158</v>
      </c>
      <c r="E117" s="7" t="s">
        <v>159</v>
      </c>
      <c r="F117" s="7" t="s">
        <v>160</v>
      </c>
      <c r="G117" s="7" t="s">
        <v>39</v>
      </c>
      <c r="H117" s="7" t="n">
        <v>34</v>
      </c>
      <c r="I117" s="7" t="n">
        <v>42</v>
      </c>
      <c r="J117" s="7" t="n">
        <v>25</v>
      </c>
      <c r="K117" s="7" t="n">
        <v>107</v>
      </c>
      <c r="L117" s="7" t="n">
        <v>0</v>
      </c>
      <c r="M117" s="22" t="n">
        <v>0</v>
      </c>
      <c r="N117" s="3"/>
      <c r="O117" s="3"/>
      <c r="P117" s="3"/>
    </row>
    <row r="118" customFormat="false" ht="15.75" hidden="false" customHeight="true" outlineLevel="0" collapsed="false">
      <c r="A118" s="8" t="n">
        <v>46161</v>
      </c>
      <c r="B118" s="7" t="s">
        <v>164</v>
      </c>
      <c r="C118" s="7" t="s">
        <v>87</v>
      </c>
      <c r="D118" s="7" t="s">
        <v>158</v>
      </c>
      <c r="E118" s="7" t="s">
        <v>159</v>
      </c>
      <c r="F118" s="7" t="s">
        <v>160</v>
      </c>
      <c r="G118" s="7" t="s">
        <v>39</v>
      </c>
      <c r="H118" s="7" t="n">
        <v>37</v>
      </c>
      <c r="I118" s="7" t="n">
        <v>45</v>
      </c>
      <c r="J118" s="7" t="n">
        <v>25</v>
      </c>
      <c r="K118" s="7" t="n">
        <v>79</v>
      </c>
      <c r="L118" s="7" t="n">
        <v>0</v>
      </c>
      <c r="M118" s="22" t="n">
        <v>0</v>
      </c>
      <c r="N118" s="3"/>
      <c r="O118" s="3"/>
      <c r="P118" s="3"/>
    </row>
    <row r="119" customFormat="false" ht="15.75" hidden="false" customHeight="true" outlineLevel="0" collapsed="false">
      <c r="A119" s="8" t="n">
        <v>46161</v>
      </c>
      <c r="B119" s="7" t="s">
        <v>166</v>
      </c>
      <c r="C119" s="7" t="s">
        <v>167</v>
      </c>
      <c r="D119" s="7" t="s">
        <v>158</v>
      </c>
      <c r="E119" s="7" t="s">
        <v>159</v>
      </c>
      <c r="F119" s="7" t="s">
        <v>160</v>
      </c>
      <c r="G119" s="7" t="s">
        <v>39</v>
      </c>
      <c r="H119" s="7" t="n">
        <v>11</v>
      </c>
      <c r="I119" s="7" t="n">
        <v>14</v>
      </c>
      <c r="J119" s="7" t="n">
        <v>7</v>
      </c>
      <c r="K119" s="7" t="n">
        <v>76</v>
      </c>
      <c r="L119" s="7" t="n">
        <v>0</v>
      </c>
      <c r="M119" s="22" t="n">
        <v>0</v>
      </c>
      <c r="N119" s="3"/>
      <c r="O119" s="3"/>
      <c r="P119" s="3"/>
    </row>
    <row r="120" customFormat="false" ht="15.75" hidden="false" customHeight="true" outlineLevel="0" collapsed="false">
      <c r="A120" s="8" t="n">
        <v>46162</v>
      </c>
      <c r="B120" s="7" t="s">
        <v>157</v>
      </c>
      <c r="C120" s="7" t="s">
        <v>92</v>
      </c>
      <c r="D120" s="7" t="s">
        <v>158</v>
      </c>
      <c r="E120" s="7" t="s">
        <v>159</v>
      </c>
      <c r="F120" s="7" t="s">
        <v>160</v>
      </c>
      <c r="G120" s="7" t="s">
        <v>39</v>
      </c>
      <c r="H120" s="7" t="n">
        <v>42</v>
      </c>
      <c r="I120" s="7" t="n">
        <v>51</v>
      </c>
      <c r="J120" s="7" t="n">
        <v>33</v>
      </c>
      <c r="K120" s="7" t="n">
        <v>102</v>
      </c>
      <c r="L120" s="7" t="n">
        <v>0</v>
      </c>
      <c r="M120" s="22" t="n">
        <v>0</v>
      </c>
      <c r="N120" s="3"/>
      <c r="O120" s="3"/>
      <c r="P120" s="3"/>
    </row>
    <row r="121" customFormat="false" ht="15.75" hidden="false" customHeight="true" outlineLevel="0" collapsed="false">
      <c r="A121" s="8" t="n">
        <v>46162</v>
      </c>
      <c r="B121" s="7" t="s">
        <v>161</v>
      </c>
      <c r="C121" s="7" t="s">
        <v>92</v>
      </c>
      <c r="D121" s="7" t="s">
        <v>158</v>
      </c>
      <c r="E121" s="7" t="s">
        <v>159</v>
      </c>
      <c r="F121" s="7" t="s">
        <v>160</v>
      </c>
      <c r="G121" s="7" t="s">
        <v>39</v>
      </c>
      <c r="H121" s="7" t="n">
        <v>43</v>
      </c>
      <c r="I121" s="7" t="n">
        <v>52</v>
      </c>
      <c r="J121" s="7" t="n">
        <v>34</v>
      </c>
      <c r="K121" s="7" t="n">
        <v>99</v>
      </c>
      <c r="L121" s="7" t="n">
        <v>0</v>
      </c>
      <c r="M121" s="22" t="n">
        <v>0</v>
      </c>
      <c r="N121" s="3"/>
      <c r="O121" s="3"/>
      <c r="P121" s="3"/>
    </row>
    <row r="122" customFormat="false" ht="15.75" hidden="false" customHeight="true" outlineLevel="0" collapsed="false">
      <c r="A122" s="8" t="n">
        <v>46162</v>
      </c>
      <c r="B122" s="7" t="s">
        <v>162</v>
      </c>
      <c r="C122" s="7" t="s">
        <v>97</v>
      </c>
      <c r="D122" s="7" t="s">
        <v>158</v>
      </c>
      <c r="E122" s="7" t="s">
        <v>159</v>
      </c>
      <c r="F122" s="7" t="s">
        <v>160</v>
      </c>
      <c r="G122" s="7" t="s">
        <v>39</v>
      </c>
      <c r="H122" s="7" t="n">
        <v>44</v>
      </c>
      <c r="I122" s="7" t="n">
        <v>54</v>
      </c>
      <c r="J122" s="7" t="n">
        <v>32</v>
      </c>
      <c r="K122" s="7" t="n">
        <v>101</v>
      </c>
      <c r="L122" s="7" t="n">
        <v>0</v>
      </c>
      <c r="M122" s="22" t="n">
        <v>0</v>
      </c>
      <c r="N122" s="3"/>
      <c r="O122" s="3"/>
      <c r="P122" s="3"/>
    </row>
    <row r="123" customFormat="false" ht="15.75" hidden="false" customHeight="true" outlineLevel="0" collapsed="false">
      <c r="A123" s="8" t="n">
        <v>46162</v>
      </c>
      <c r="B123" s="7" t="s">
        <v>163</v>
      </c>
      <c r="C123" s="7" t="s">
        <v>97</v>
      </c>
      <c r="D123" s="7" t="s">
        <v>158</v>
      </c>
      <c r="E123" s="7" t="s">
        <v>159</v>
      </c>
      <c r="F123" s="7" t="s">
        <v>160</v>
      </c>
      <c r="G123" s="7" t="s">
        <v>39</v>
      </c>
      <c r="H123" s="7" t="n">
        <v>34</v>
      </c>
      <c r="I123" s="7" t="n">
        <v>41</v>
      </c>
      <c r="J123" s="7" t="n">
        <v>24</v>
      </c>
      <c r="K123" s="7" t="n">
        <v>100</v>
      </c>
      <c r="L123" s="7" t="n">
        <v>0</v>
      </c>
      <c r="M123" s="22" t="n">
        <v>0</v>
      </c>
      <c r="N123" s="3"/>
      <c r="O123" s="3"/>
      <c r="P123" s="3"/>
    </row>
    <row r="124" customFormat="false" ht="15.75" hidden="false" customHeight="true" outlineLevel="0" collapsed="false">
      <c r="A124" s="8" t="n">
        <v>46162</v>
      </c>
      <c r="B124" s="7" t="s">
        <v>164</v>
      </c>
      <c r="C124" s="7" t="s">
        <v>87</v>
      </c>
      <c r="D124" s="7" t="s">
        <v>158</v>
      </c>
      <c r="E124" s="7" t="s">
        <v>159</v>
      </c>
      <c r="F124" s="7" t="s">
        <v>160</v>
      </c>
      <c r="G124" s="7" t="s">
        <v>39</v>
      </c>
      <c r="H124" s="7" t="n">
        <v>33</v>
      </c>
      <c r="I124" s="7" t="n">
        <v>40</v>
      </c>
      <c r="J124" s="7" t="n">
        <v>22</v>
      </c>
      <c r="K124" s="7" t="n">
        <v>71</v>
      </c>
      <c r="L124" s="7" t="n">
        <v>0</v>
      </c>
      <c r="M124" s="22" t="n">
        <v>0</v>
      </c>
      <c r="N124" s="3"/>
      <c r="O124" s="3"/>
      <c r="P124" s="3"/>
    </row>
    <row r="125" customFormat="false" ht="15.75" hidden="false" customHeight="true" outlineLevel="0" collapsed="false">
      <c r="A125" s="8" t="n">
        <v>46162</v>
      </c>
      <c r="B125" s="7" t="s">
        <v>166</v>
      </c>
      <c r="C125" s="7" t="s">
        <v>167</v>
      </c>
      <c r="D125" s="7" t="s">
        <v>158</v>
      </c>
      <c r="E125" s="7" t="s">
        <v>159</v>
      </c>
      <c r="F125" s="7" t="s">
        <v>165</v>
      </c>
      <c r="G125" s="7" t="s">
        <v>39</v>
      </c>
      <c r="H125" s="7" t="n">
        <v>9</v>
      </c>
      <c r="I125" s="7" t="n">
        <v>12</v>
      </c>
      <c r="J125" s="7" t="n">
        <v>6</v>
      </c>
      <c r="K125" s="7" t="n">
        <v>73</v>
      </c>
      <c r="L125" s="7" t="n">
        <v>0</v>
      </c>
      <c r="M125" s="22" t="n">
        <v>0</v>
      </c>
      <c r="N125" s="3"/>
      <c r="O125" s="3"/>
      <c r="P125" s="3"/>
    </row>
    <row r="126" customFormat="false" ht="15.75" hidden="false" customHeight="true" outlineLevel="0" collapsed="false">
      <c r="A126" s="8" t="n">
        <v>46163</v>
      </c>
      <c r="B126" s="7" t="s">
        <v>157</v>
      </c>
      <c r="C126" s="7" t="s">
        <v>92</v>
      </c>
      <c r="D126" s="7" t="s">
        <v>158</v>
      </c>
      <c r="E126" s="7" t="s">
        <v>159</v>
      </c>
      <c r="F126" s="7" t="s">
        <v>160</v>
      </c>
      <c r="G126" s="7" t="s">
        <v>39</v>
      </c>
      <c r="H126" s="7" t="n">
        <v>54</v>
      </c>
      <c r="I126" s="7" t="n">
        <v>66</v>
      </c>
      <c r="J126" s="7" t="n">
        <v>43</v>
      </c>
      <c r="K126" s="7" t="n">
        <v>99</v>
      </c>
      <c r="L126" s="7" t="n">
        <v>0</v>
      </c>
      <c r="M126" s="22" t="n">
        <v>0</v>
      </c>
      <c r="N126" s="3"/>
      <c r="O126" s="3"/>
      <c r="P126" s="3"/>
    </row>
    <row r="127" customFormat="false" ht="15.75" hidden="false" customHeight="true" outlineLevel="0" collapsed="false">
      <c r="A127" s="8" t="n">
        <v>46163</v>
      </c>
      <c r="B127" s="7" t="s">
        <v>161</v>
      </c>
      <c r="C127" s="7" t="s">
        <v>92</v>
      </c>
      <c r="D127" s="7" t="s">
        <v>158</v>
      </c>
      <c r="E127" s="7" t="s">
        <v>159</v>
      </c>
      <c r="F127" s="7" t="s">
        <v>165</v>
      </c>
      <c r="G127" s="7" t="s">
        <v>39</v>
      </c>
      <c r="H127" s="7" t="n">
        <v>53</v>
      </c>
      <c r="I127" s="7" t="n">
        <v>64</v>
      </c>
      <c r="J127" s="7" t="n">
        <v>42</v>
      </c>
      <c r="K127" s="7" t="n">
        <v>102</v>
      </c>
      <c r="L127" s="7" t="n">
        <v>0</v>
      </c>
      <c r="M127" s="22" t="n">
        <v>0</v>
      </c>
      <c r="N127" s="3"/>
      <c r="O127" s="3"/>
      <c r="P127" s="3"/>
    </row>
    <row r="128" customFormat="false" ht="15.75" hidden="false" customHeight="true" outlineLevel="0" collapsed="false">
      <c r="A128" s="8" t="n">
        <v>46163</v>
      </c>
      <c r="B128" s="7" t="s">
        <v>162</v>
      </c>
      <c r="C128" s="7" t="s">
        <v>97</v>
      </c>
      <c r="D128" s="7" t="s">
        <v>158</v>
      </c>
      <c r="E128" s="7" t="s">
        <v>159</v>
      </c>
      <c r="F128" s="7" t="s">
        <v>165</v>
      </c>
      <c r="G128" s="7" t="s">
        <v>39</v>
      </c>
      <c r="H128" s="7" t="n">
        <v>33</v>
      </c>
      <c r="I128" s="7" t="n">
        <v>40</v>
      </c>
      <c r="J128" s="7" t="n">
        <v>24</v>
      </c>
      <c r="K128" s="7" t="n">
        <v>120</v>
      </c>
      <c r="L128" s="7" t="n">
        <v>0</v>
      </c>
      <c r="M128" s="22" t="n">
        <v>0</v>
      </c>
      <c r="N128" s="3"/>
      <c r="O128" s="3"/>
      <c r="P128" s="3"/>
    </row>
    <row r="129" customFormat="false" ht="15.75" hidden="false" customHeight="true" outlineLevel="0" collapsed="false">
      <c r="A129" s="8" t="n">
        <v>46163</v>
      </c>
      <c r="B129" s="7" t="s">
        <v>163</v>
      </c>
      <c r="C129" s="7" t="s">
        <v>97</v>
      </c>
      <c r="D129" s="7" t="s">
        <v>158</v>
      </c>
      <c r="E129" s="7" t="s">
        <v>159</v>
      </c>
      <c r="F129" s="7" t="s">
        <v>160</v>
      </c>
      <c r="G129" s="7" t="s">
        <v>39</v>
      </c>
      <c r="H129" s="7" t="n">
        <v>30</v>
      </c>
      <c r="I129" s="7" t="n">
        <v>37</v>
      </c>
      <c r="J129" s="7" t="n">
        <v>22</v>
      </c>
      <c r="K129" s="7" t="n">
        <v>104</v>
      </c>
      <c r="L129" s="7" t="n">
        <v>0</v>
      </c>
      <c r="M129" s="22" t="n">
        <v>0</v>
      </c>
      <c r="N129" s="3"/>
      <c r="O129" s="3"/>
      <c r="P129" s="3"/>
    </row>
    <row r="130" customFormat="false" ht="15.75" hidden="false" customHeight="true" outlineLevel="0" collapsed="false">
      <c r="A130" s="8" t="n">
        <v>46163</v>
      </c>
      <c r="B130" s="7" t="s">
        <v>164</v>
      </c>
      <c r="C130" s="7" t="s">
        <v>87</v>
      </c>
      <c r="D130" s="7" t="s">
        <v>158</v>
      </c>
      <c r="E130" s="7" t="s">
        <v>159</v>
      </c>
      <c r="F130" s="7" t="s">
        <v>160</v>
      </c>
      <c r="G130" s="7" t="s">
        <v>39</v>
      </c>
      <c r="H130" s="7" t="n">
        <v>30</v>
      </c>
      <c r="I130" s="7" t="n">
        <v>37</v>
      </c>
      <c r="J130" s="7" t="n">
        <v>20</v>
      </c>
      <c r="K130" s="7" t="n">
        <v>73</v>
      </c>
      <c r="L130" s="7" t="n">
        <v>0</v>
      </c>
      <c r="M130" s="22" t="n">
        <v>0</v>
      </c>
      <c r="N130" s="3"/>
      <c r="O130" s="3"/>
      <c r="P130" s="3"/>
    </row>
    <row r="131" customFormat="false" ht="15.75" hidden="false" customHeight="true" outlineLevel="0" collapsed="false">
      <c r="A131" s="8" t="n">
        <v>46163</v>
      </c>
      <c r="B131" s="7" t="s">
        <v>166</v>
      </c>
      <c r="C131" s="7" t="s">
        <v>167</v>
      </c>
      <c r="D131" s="7" t="s">
        <v>158</v>
      </c>
      <c r="E131" s="7" t="s">
        <v>159</v>
      </c>
      <c r="F131" s="7" t="s">
        <v>160</v>
      </c>
      <c r="G131" s="7" t="s">
        <v>39</v>
      </c>
      <c r="H131" s="7" t="n">
        <v>19</v>
      </c>
      <c r="I131" s="7" t="n">
        <v>23</v>
      </c>
      <c r="J131" s="7" t="n">
        <v>12</v>
      </c>
      <c r="K131" s="7" t="n">
        <v>66</v>
      </c>
      <c r="L131" s="7" t="n">
        <v>0</v>
      </c>
      <c r="M131" s="22" t="n">
        <v>0</v>
      </c>
      <c r="N131" s="3"/>
      <c r="O131" s="3"/>
      <c r="P131" s="3"/>
    </row>
    <row r="132" customFormat="false" ht="15.75" hidden="false" customHeight="true" outlineLevel="0" collapsed="false">
      <c r="A132" s="8" t="n">
        <v>46164</v>
      </c>
      <c r="B132" s="7" t="s">
        <v>157</v>
      </c>
      <c r="C132" s="7" t="s">
        <v>92</v>
      </c>
      <c r="D132" s="7" t="s">
        <v>158</v>
      </c>
      <c r="E132" s="7" t="s">
        <v>159</v>
      </c>
      <c r="F132" s="7" t="s">
        <v>160</v>
      </c>
      <c r="G132" s="7" t="s">
        <v>39</v>
      </c>
      <c r="H132" s="7" t="n">
        <v>44</v>
      </c>
      <c r="I132" s="7" t="n">
        <v>54</v>
      </c>
      <c r="J132" s="7" t="n">
        <v>35</v>
      </c>
      <c r="K132" s="7" t="n">
        <v>99</v>
      </c>
      <c r="L132" s="7" t="n">
        <v>0</v>
      </c>
      <c r="M132" s="22" t="n">
        <v>0</v>
      </c>
      <c r="N132" s="3"/>
      <c r="O132" s="3"/>
      <c r="P132" s="3"/>
    </row>
    <row r="133" customFormat="false" ht="15.75" hidden="false" customHeight="true" outlineLevel="0" collapsed="false">
      <c r="A133" s="8" t="n">
        <v>46164</v>
      </c>
      <c r="B133" s="7" t="s">
        <v>161</v>
      </c>
      <c r="C133" s="7" t="s">
        <v>92</v>
      </c>
      <c r="D133" s="7" t="s">
        <v>158</v>
      </c>
      <c r="E133" s="7" t="s">
        <v>159</v>
      </c>
      <c r="F133" s="7" t="s">
        <v>165</v>
      </c>
      <c r="G133" s="7" t="s">
        <v>39</v>
      </c>
      <c r="H133" s="7" t="n">
        <v>47</v>
      </c>
      <c r="I133" s="7" t="n">
        <v>57</v>
      </c>
      <c r="J133" s="7" t="n">
        <v>37</v>
      </c>
      <c r="K133" s="7" t="n">
        <v>105</v>
      </c>
      <c r="L133" s="7" t="n">
        <v>0</v>
      </c>
      <c r="M133" s="22" t="n">
        <v>0</v>
      </c>
      <c r="N133" s="3"/>
      <c r="O133" s="3"/>
      <c r="P133" s="3"/>
    </row>
    <row r="134" customFormat="false" ht="15.75" hidden="false" customHeight="true" outlineLevel="0" collapsed="false">
      <c r="A134" s="8" t="n">
        <v>46164</v>
      </c>
      <c r="B134" s="7" t="s">
        <v>162</v>
      </c>
      <c r="C134" s="7" t="s">
        <v>97</v>
      </c>
      <c r="D134" s="7" t="s">
        <v>158</v>
      </c>
      <c r="E134" s="7" t="s">
        <v>159</v>
      </c>
      <c r="F134" s="7" t="s">
        <v>160</v>
      </c>
      <c r="G134" s="7" t="s">
        <v>39</v>
      </c>
      <c r="H134" s="7" t="n">
        <v>29</v>
      </c>
      <c r="I134" s="7" t="n">
        <v>36</v>
      </c>
      <c r="J134" s="7" t="n">
        <v>21</v>
      </c>
      <c r="K134" s="7" t="n">
        <v>110</v>
      </c>
      <c r="L134" s="7" t="n">
        <v>0</v>
      </c>
      <c r="M134" s="22" t="n">
        <v>0</v>
      </c>
      <c r="N134" s="3"/>
      <c r="O134" s="3"/>
      <c r="P134" s="3"/>
    </row>
    <row r="135" customFormat="false" ht="15.75" hidden="false" customHeight="true" outlineLevel="0" collapsed="false">
      <c r="A135" s="8" t="n">
        <v>46164</v>
      </c>
      <c r="B135" s="7" t="s">
        <v>163</v>
      </c>
      <c r="C135" s="7" t="s">
        <v>97</v>
      </c>
      <c r="D135" s="7" t="s">
        <v>158</v>
      </c>
      <c r="E135" s="7" t="s">
        <v>159</v>
      </c>
      <c r="F135" s="7" t="s">
        <v>160</v>
      </c>
      <c r="G135" s="7" t="s">
        <v>39</v>
      </c>
      <c r="H135" s="7" t="n">
        <v>43</v>
      </c>
      <c r="I135" s="7" t="n">
        <v>52</v>
      </c>
      <c r="J135" s="7" t="n">
        <v>31</v>
      </c>
      <c r="K135" s="7" t="n">
        <v>117</v>
      </c>
      <c r="L135" s="7" t="n">
        <v>0</v>
      </c>
      <c r="M135" s="22" t="n">
        <v>0</v>
      </c>
      <c r="N135" s="3"/>
      <c r="O135" s="3"/>
      <c r="P135" s="3"/>
    </row>
    <row r="136" customFormat="false" ht="15.75" hidden="false" customHeight="true" outlineLevel="0" collapsed="false">
      <c r="A136" s="8" t="n">
        <v>46164</v>
      </c>
      <c r="B136" s="7" t="s">
        <v>164</v>
      </c>
      <c r="C136" s="7" t="s">
        <v>87</v>
      </c>
      <c r="D136" s="7" t="s">
        <v>158</v>
      </c>
      <c r="E136" s="7" t="s">
        <v>159</v>
      </c>
      <c r="F136" s="7" t="s">
        <v>160</v>
      </c>
      <c r="G136" s="7" t="s">
        <v>39</v>
      </c>
      <c r="H136" s="7" t="n">
        <v>37</v>
      </c>
      <c r="I136" s="7" t="n">
        <v>45</v>
      </c>
      <c r="J136" s="7" t="n">
        <v>25</v>
      </c>
      <c r="K136" s="7" t="n">
        <v>83</v>
      </c>
      <c r="L136" s="7" t="n">
        <v>0</v>
      </c>
      <c r="M136" s="22" t="n">
        <v>0</v>
      </c>
      <c r="N136" s="3"/>
      <c r="O136" s="3"/>
      <c r="P136" s="3"/>
    </row>
    <row r="137" customFormat="false" ht="15.75" hidden="false" customHeight="true" outlineLevel="0" collapsed="false">
      <c r="A137" s="8" t="n">
        <v>46164</v>
      </c>
      <c r="B137" s="7" t="s">
        <v>166</v>
      </c>
      <c r="C137" s="7" t="s">
        <v>167</v>
      </c>
      <c r="D137" s="7" t="s">
        <v>158</v>
      </c>
      <c r="E137" s="7" t="s">
        <v>159</v>
      </c>
      <c r="F137" s="7" t="s">
        <v>165</v>
      </c>
      <c r="G137" s="7" t="s">
        <v>39</v>
      </c>
      <c r="H137" s="7" t="n">
        <v>20</v>
      </c>
      <c r="I137" s="7" t="n">
        <v>25</v>
      </c>
      <c r="J137" s="7" t="n">
        <v>14</v>
      </c>
      <c r="K137" s="7" t="n">
        <v>82</v>
      </c>
      <c r="L137" s="7" t="n">
        <v>0</v>
      </c>
      <c r="M137" s="22" t="n">
        <v>0</v>
      </c>
      <c r="N137" s="3"/>
      <c r="O137" s="3"/>
      <c r="P137" s="3"/>
    </row>
    <row r="138" customFormat="false" ht="15.75" hidden="false" customHeight="true" outlineLevel="0" collapsed="false">
      <c r="A138" s="8" t="n">
        <v>46165</v>
      </c>
      <c r="B138" s="7" t="s">
        <v>157</v>
      </c>
      <c r="C138" s="7" t="s">
        <v>92</v>
      </c>
      <c r="D138" s="7" t="s">
        <v>158</v>
      </c>
      <c r="E138" s="7" t="s">
        <v>159</v>
      </c>
      <c r="F138" s="7" t="s">
        <v>165</v>
      </c>
      <c r="G138" s="7" t="s">
        <v>39</v>
      </c>
      <c r="H138" s="7" t="n">
        <v>48</v>
      </c>
      <c r="I138" s="7" t="n">
        <v>58</v>
      </c>
      <c r="J138" s="7" t="n">
        <v>38</v>
      </c>
      <c r="K138" s="7" t="n">
        <v>106</v>
      </c>
      <c r="L138" s="7" t="n">
        <v>0</v>
      </c>
      <c r="M138" s="22" t="n">
        <v>0</v>
      </c>
      <c r="N138" s="3"/>
      <c r="O138" s="3"/>
      <c r="P138" s="3"/>
    </row>
    <row r="139" customFormat="false" ht="15.75" hidden="false" customHeight="true" outlineLevel="0" collapsed="false">
      <c r="A139" s="8" t="n">
        <v>46165</v>
      </c>
      <c r="B139" s="7" t="s">
        <v>161</v>
      </c>
      <c r="C139" s="7" t="s">
        <v>92</v>
      </c>
      <c r="D139" s="7" t="s">
        <v>158</v>
      </c>
      <c r="E139" s="7" t="s">
        <v>159</v>
      </c>
      <c r="F139" s="7" t="s">
        <v>160</v>
      </c>
      <c r="G139" s="7" t="s">
        <v>39</v>
      </c>
      <c r="H139" s="7" t="n">
        <v>46</v>
      </c>
      <c r="I139" s="7" t="n">
        <v>56</v>
      </c>
      <c r="J139" s="7" t="n">
        <v>36</v>
      </c>
      <c r="K139" s="7" t="n">
        <v>93</v>
      </c>
      <c r="L139" s="7" t="n">
        <v>0</v>
      </c>
      <c r="M139" s="22" t="n">
        <v>0</v>
      </c>
      <c r="N139" s="3"/>
      <c r="O139" s="3"/>
      <c r="P139" s="3"/>
    </row>
    <row r="140" customFormat="false" ht="15.75" hidden="false" customHeight="true" outlineLevel="0" collapsed="false">
      <c r="A140" s="8" t="n">
        <v>46165</v>
      </c>
      <c r="B140" s="7" t="s">
        <v>162</v>
      </c>
      <c r="C140" s="7" t="s">
        <v>97</v>
      </c>
      <c r="D140" s="7" t="s">
        <v>158</v>
      </c>
      <c r="E140" s="7" t="s">
        <v>159</v>
      </c>
      <c r="F140" s="7" t="s">
        <v>165</v>
      </c>
      <c r="G140" s="7" t="s">
        <v>39</v>
      </c>
      <c r="H140" s="7" t="n">
        <v>34</v>
      </c>
      <c r="I140" s="7" t="n">
        <v>42</v>
      </c>
      <c r="J140" s="7" t="n">
        <v>25</v>
      </c>
      <c r="K140" s="7" t="n">
        <v>104</v>
      </c>
      <c r="L140" s="7" t="n">
        <v>0</v>
      </c>
      <c r="M140" s="22" t="n">
        <v>0</v>
      </c>
      <c r="N140" s="3"/>
      <c r="O140" s="3"/>
      <c r="P140" s="3"/>
    </row>
    <row r="141" customFormat="false" ht="15.75" hidden="false" customHeight="true" outlineLevel="0" collapsed="false">
      <c r="A141" s="8" t="n">
        <v>46165</v>
      </c>
      <c r="B141" s="7" t="s">
        <v>163</v>
      </c>
      <c r="C141" s="7" t="s">
        <v>97</v>
      </c>
      <c r="D141" s="7" t="s">
        <v>158</v>
      </c>
      <c r="E141" s="7" t="s">
        <v>159</v>
      </c>
      <c r="F141" s="7" t="s">
        <v>160</v>
      </c>
      <c r="G141" s="7" t="s">
        <v>39</v>
      </c>
      <c r="H141" s="7" t="n">
        <v>32</v>
      </c>
      <c r="I141" s="7" t="n">
        <v>39</v>
      </c>
      <c r="J141" s="7" t="n">
        <v>23</v>
      </c>
      <c r="K141" s="7" t="n">
        <v>102</v>
      </c>
      <c r="L141" s="7" t="n">
        <v>0</v>
      </c>
      <c r="M141" s="22" t="n">
        <v>0</v>
      </c>
      <c r="N141" s="3"/>
      <c r="O141" s="3"/>
      <c r="P141" s="3"/>
    </row>
    <row r="142" customFormat="false" ht="15.75" hidden="false" customHeight="true" outlineLevel="0" collapsed="false">
      <c r="A142" s="8" t="n">
        <v>46165</v>
      </c>
      <c r="B142" s="7" t="s">
        <v>164</v>
      </c>
      <c r="C142" s="7" t="s">
        <v>87</v>
      </c>
      <c r="D142" s="7" t="s">
        <v>158</v>
      </c>
      <c r="E142" s="7" t="s">
        <v>159</v>
      </c>
      <c r="F142" s="7" t="s">
        <v>160</v>
      </c>
      <c r="G142" s="7" t="s">
        <v>39</v>
      </c>
      <c r="H142" s="7" t="n">
        <v>24</v>
      </c>
      <c r="I142" s="7" t="n">
        <v>30</v>
      </c>
      <c r="J142" s="7" t="n">
        <v>16</v>
      </c>
      <c r="K142" s="7" t="n">
        <v>71</v>
      </c>
      <c r="L142" s="7" t="n">
        <v>0</v>
      </c>
      <c r="M142" s="22" t="n">
        <v>0</v>
      </c>
      <c r="N142" s="3"/>
      <c r="O142" s="3"/>
      <c r="P142" s="3"/>
    </row>
    <row r="143" customFormat="false" ht="15.75" hidden="false" customHeight="true" outlineLevel="0" collapsed="false">
      <c r="A143" s="8" t="n">
        <v>46165</v>
      </c>
      <c r="B143" s="7" t="s">
        <v>166</v>
      </c>
      <c r="C143" s="7" t="s">
        <v>167</v>
      </c>
      <c r="D143" s="7" t="s">
        <v>158</v>
      </c>
      <c r="E143" s="7" t="s">
        <v>159</v>
      </c>
      <c r="F143" s="7" t="s">
        <v>160</v>
      </c>
      <c r="G143" s="7" t="s">
        <v>39</v>
      </c>
      <c r="H143" s="7" t="n">
        <v>17</v>
      </c>
      <c r="I143" s="7" t="n">
        <v>21</v>
      </c>
      <c r="J143" s="7" t="n">
        <v>11</v>
      </c>
      <c r="K143" s="7" t="n">
        <v>80</v>
      </c>
      <c r="L143" s="7" t="n">
        <v>0</v>
      </c>
      <c r="M143" s="22" t="n">
        <v>0</v>
      </c>
      <c r="N143" s="3"/>
      <c r="O143" s="3"/>
      <c r="P143" s="3"/>
    </row>
    <row r="144" customFormat="false" ht="15.75" hidden="false" customHeight="true" outlineLevel="0" collapsed="false">
      <c r="A144" s="8" t="n">
        <v>46166</v>
      </c>
      <c r="B144" s="7" t="s">
        <v>157</v>
      </c>
      <c r="C144" s="7" t="s">
        <v>92</v>
      </c>
      <c r="D144" s="7" t="s">
        <v>158</v>
      </c>
      <c r="E144" s="7" t="s">
        <v>159</v>
      </c>
      <c r="F144" s="7" t="s">
        <v>160</v>
      </c>
      <c r="G144" s="7" t="s">
        <v>39</v>
      </c>
      <c r="H144" s="7" t="n">
        <v>47</v>
      </c>
      <c r="I144" s="7" t="n">
        <v>57</v>
      </c>
      <c r="J144" s="7" t="n">
        <v>37</v>
      </c>
      <c r="K144" s="7" t="n">
        <v>95</v>
      </c>
      <c r="L144" s="7" t="n">
        <v>0</v>
      </c>
      <c r="M144" s="22" t="n">
        <v>0</v>
      </c>
      <c r="N144" s="3"/>
      <c r="O144" s="3"/>
      <c r="P144" s="3"/>
    </row>
    <row r="145" customFormat="false" ht="15.75" hidden="false" customHeight="true" outlineLevel="0" collapsed="false">
      <c r="A145" s="8" t="n">
        <v>46166</v>
      </c>
      <c r="B145" s="7" t="s">
        <v>161</v>
      </c>
      <c r="C145" s="7" t="s">
        <v>92</v>
      </c>
      <c r="D145" s="7" t="s">
        <v>158</v>
      </c>
      <c r="E145" s="7" t="s">
        <v>159</v>
      </c>
      <c r="F145" s="7" t="s">
        <v>160</v>
      </c>
      <c r="G145" s="7" t="s">
        <v>39</v>
      </c>
      <c r="H145" s="7" t="n">
        <v>42</v>
      </c>
      <c r="I145" s="7" t="n">
        <v>51</v>
      </c>
      <c r="J145" s="7" t="n">
        <v>33</v>
      </c>
      <c r="K145" s="7" t="n">
        <v>86</v>
      </c>
      <c r="L145" s="7" t="n">
        <v>0</v>
      </c>
      <c r="M145" s="22" t="n">
        <v>0</v>
      </c>
      <c r="N145" s="3"/>
      <c r="O145" s="3"/>
      <c r="P145" s="3"/>
    </row>
    <row r="146" customFormat="false" ht="15.75" hidden="false" customHeight="true" outlineLevel="0" collapsed="false">
      <c r="A146" s="8" t="n">
        <v>46166</v>
      </c>
      <c r="B146" s="7" t="s">
        <v>162</v>
      </c>
      <c r="C146" s="7" t="s">
        <v>97</v>
      </c>
      <c r="D146" s="7" t="s">
        <v>158</v>
      </c>
      <c r="E146" s="7" t="s">
        <v>159</v>
      </c>
      <c r="F146" s="7" t="s">
        <v>160</v>
      </c>
      <c r="G146" s="7" t="s">
        <v>39</v>
      </c>
      <c r="H146" s="7" t="n">
        <v>39</v>
      </c>
      <c r="I146" s="7" t="n">
        <v>47</v>
      </c>
      <c r="J146" s="7" t="n">
        <v>28</v>
      </c>
      <c r="K146" s="7" t="n">
        <v>109</v>
      </c>
      <c r="L146" s="7" t="n">
        <v>0</v>
      </c>
      <c r="M146" s="22" t="n">
        <v>0</v>
      </c>
      <c r="N146" s="3"/>
      <c r="O146" s="3"/>
      <c r="P146" s="3"/>
    </row>
    <row r="147" customFormat="false" ht="15.75" hidden="false" customHeight="true" outlineLevel="0" collapsed="false">
      <c r="A147" s="8" t="n">
        <v>46166</v>
      </c>
      <c r="B147" s="7" t="s">
        <v>163</v>
      </c>
      <c r="C147" s="7" t="s">
        <v>97</v>
      </c>
      <c r="D147" s="7" t="s">
        <v>158</v>
      </c>
      <c r="E147" s="7" t="s">
        <v>159</v>
      </c>
      <c r="F147" s="7" t="s">
        <v>165</v>
      </c>
      <c r="G147" s="7" t="s">
        <v>39</v>
      </c>
      <c r="H147" s="7" t="n">
        <v>38</v>
      </c>
      <c r="I147" s="7" t="n">
        <v>46</v>
      </c>
      <c r="J147" s="7" t="n">
        <v>27</v>
      </c>
      <c r="K147" s="7" t="n">
        <v>114</v>
      </c>
      <c r="L147" s="7" t="n">
        <v>0</v>
      </c>
      <c r="M147" s="22" t="n">
        <v>0</v>
      </c>
      <c r="N147" s="3"/>
      <c r="O147" s="3"/>
      <c r="P147" s="3"/>
    </row>
    <row r="148" customFormat="false" ht="15.75" hidden="false" customHeight="true" outlineLevel="0" collapsed="false">
      <c r="A148" s="8" t="n">
        <v>46166</v>
      </c>
      <c r="B148" s="7" t="s">
        <v>164</v>
      </c>
      <c r="C148" s="7" t="s">
        <v>87</v>
      </c>
      <c r="D148" s="7" t="s">
        <v>158</v>
      </c>
      <c r="E148" s="7" t="s">
        <v>159</v>
      </c>
      <c r="F148" s="7" t="s">
        <v>160</v>
      </c>
      <c r="G148" s="7" t="s">
        <v>39</v>
      </c>
      <c r="H148" s="7" t="n">
        <v>24</v>
      </c>
      <c r="I148" s="7" t="n">
        <v>30</v>
      </c>
      <c r="J148" s="7" t="n">
        <v>16</v>
      </c>
      <c r="K148" s="7" t="n">
        <v>78</v>
      </c>
      <c r="L148" s="7" t="n">
        <v>0</v>
      </c>
      <c r="M148" s="22" t="n">
        <v>0</v>
      </c>
      <c r="N148" s="3"/>
      <c r="O148" s="3"/>
      <c r="P148" s="3"/>
    </row>
    <row r="149" customFormat="false" ht="15.75" hidden="false" customHeight="true" outlineLevel="0" collapsed="false">
      <c r="A149" s="8" t="n">
        <v>46166</v>
      </c>
      <c r="B149" s="7" t="s">
        <v>166</v>
      </c>
      <c r="C149" s="7" t="s">
        <v>167</v>
      </c>
      <c r="D149" s="7" t="s">
        <v>158</v>
      </c>
      <c r="E149" s="7" t="s">
        <v>159</v>
      </c>
      <c r="F149" s="7" t="s">
        <v>165</v>
      </c>
      <c r="G149" s="7" t="s">
        <v>39</v>
      </c>
      <c r="H149" s="7" t="n">
        <v>20</v>
      </c>
      <c r="I149" s="7" t="n">
        <v>25</v>
      </c>
      <c r="J149" s="7" t="n">
        <v>14</v>
      </c>
      <c r="K149" s="7" t="n">
        <v>82</v>
      </c>
      <c r="L149" s="7" t="n">
        <v>0</v>
      </c>
      <c r="M149" s="22" t="n">
        <v>0</v>
      </c>
      <c r="N149" s="3"/>
      <c r="O149" s="3"/>
      <c r="P149" s="3"/>
    </row>
    <row r="150" customFormat="false" ht="15.75" hidden="false" customHeight="true" outlineLevel="0" collapsed="false">
      <c r="A150" s="8" t="n">
        <v>46167</v>
      </c>
      <c r="B150" s="7" t="s">
        <v>157</v>
      </c>
      <c r="C150" s="7" t="s">
        <v>92</v>
      </c>
      <c r="D150" s="7" t="s">
        <v>158</v>
      </c>
      <c r="E150" s="7" t="s">
        <v>159</v>
      </c>
      <c r="F150" s="7" t="s">
        <v>160</v>
      </c>
      <c r="G150" s="7" t="s">
        <v>39</v>
      </c>
      <c r="H150" s="7" t="n">
        <v>54</v>
      </c>
      <c r="I150" s="7" t="n">
        <v>66</v>
      </c>
      <c r="J150" s="7" t="n">
        <v>43</v>
      </c>
      <c r="K150" s="7" t="n">
        <v>87</v>
      </c>
      <c r="L150" s="7" t="n">
        <v>0</v>
      </c>
      <c r="M150" s="22" t="n">
        <v>0</v>
      </c>
      <c r="N150" s="3"/>
      <c r="O150" s="3"/>
      <c r="P150" s="3"/>
    </row>
    <row r="151" customFormat="false" ht="15.75" hidden="false" customHeight="true" outlineLevel="0" collapsed="false">
      <c r="A151" s="8" t="n">
        <v>46167</v>
      </c>
      <c r="B151" s="7" t="s">
        <v>161</v>
      </c>
      <c r="C151" s="7" t="s">
        <v>92</v>
      </c>
      <c r="D151" s="7" t="s">
        <v>158</v>
      </c>
      <c r="E151" s="7" t="s">
        <v>159</v>
      </c>
      <c r="F151" s="7" t="s">
        <v>160</v>
      </c>
      <c r="G151" s="7" t="s">
        <v>39</v>
      </c>
      <c r="H151" s="7" t="n">
        <v>47</v>
      </c>
      <c r="I151" s="7" t="n">
        <v>57</v>
      </c>
      <c r="J151" s="7" t="n">
        <v>37</v>
      </c>
      <c r="K151" s="7" t="n">
        <v>88</v>
      </c>
      <c r="L151" s="7" t="n">
        <v>0</v>
      </c>
      <c r="M151" s="22" t="n">
        <v>0</v>
      </c>
      <c r="N151" s="3"/>
      <c r="O151" s="3"/>
      <c r="P151" s="3"/>
    </row>
    <row r="152" customFormat="false" ht="15.75" hidden="false" customHeight="true" outlineLevel="0" collapsed="false">
      <c r="A152" s="8" t="n">
        <v>46167</v>
      </c>
      <c r="B152" s="7" t="s">
        <v>162</v>
      </c>
      <c r="C152" s="7" t="s">
        <v>97</v>
      </c>
      <c r="D152" s="7" t="s">
        <v>158</v>
      </c>
      <c r="E152" s="7" t="s">
        <v>159</v>
      </c>
      <c r="F152" s="7" t="s">
        <v>160</v>
      </c>
      <c r="G152" s="7" t="s">
        <v>39</v>
      </c>
      <c r="H152" s="7" t="n">
        <v>37</v>
      </c>
      <c r="I152" s="7" t="n">
        <v>45</v>
      </c>
      <c r="J152" s="7" t="n">
        <v>27</v>
      </c>
      <c r="K152" s="7" t="n">
        <v>119</v>
      </c>
      <c r="L152" s="7" t="n">
        <v>0</v>
      </c>
      <c r="M152" s="22" t="n">
        <v>0</v>
      </c>
      <c r="N152" s="3"/>
      <c r="O152" s="3"/>
      <c r="P152" s="3"/>
    </row>
    <row r="153" customFormat="false" ht="15.75" hidden="false" customHeight="true" outlineLevel="0" collapsed="false">
      <c r="A153" s="8" t="n">
        <v>46167</v>
      </c>
      <c r="B153" s="7" t="s">
        <v>163</v>
      </c>
      <c r="C153" s="7" t="s">
        <v>97</v>
      </c>
      <c r="D153" s="7" t="s">
        <v>158</v>
      </c>
      <c r="E153" s="7" t="s">
        <v>159</v>
      </c>
      <c r="F153" s="7" t="s">
        <v>160</v>
      </c>
      <c r="G153" s="7" t="s">
        <v>39</v>
      </c>
      <c r="H153" s="7" t="n">
        <v>33</v>
      </c>
      <c r="I153" s="7" t="n">
        <v>40</v>
      </c>
      <c r="J153" s="7" t="n">
        <v>24</v>
      </c>
      <c r="K153" s="7" t="n">
        <v>119</v>
      </c>
      <c r="L153" s="7" t="n">
        <v>0</v>
      </c>
      <c r="M153" s="22" t="n">
        <v>0</v>
      </c>
      <c r="N153" s="3"/>
      <c r="O153" s="3"/>
      <c r="P153" s="3"/>
    </row>
    <row r="154" customFormat="false" ht="15.75" hidden="false" customHeight="true" outlineLevel="0" collapsed="false">
      <c r="A154" s="8" t="n">
        <v>46167</v>
      </c>
      <c r="B154" s="7" t="s">
        <v>164</v>
      </c>
      <c r="C154" s="7" t="s">
        <v>87</v>
      </c>
      <c r="D154" s="7" t="s">
        <v>158</v>
      </c>
      <c r="E154" s="7" t="s">
        <v>159</v>
      </c>
      <c r="F154" s="7" t="s">
        <v>160</v>
      </c>
      <c r="G154" s="7" t="s">
        <v>39</v>
      </c>
      <c r="H154" s="7" t="n">
        <v>25</v>
      </c>
      <c r="I154" s="7" t="n">
        <v>31</v>
      </c>
      <c r="J154" s="7" t="n">
        <v>17</v>
      </c>
      <c r="K154" s="7" t="n">
        <v>73</v>
      </c>
      <c r="L154" s="7" t="n">
        <v>0</v>
      </c>
      <c r="M154" s="22" t="n">
        <v>0</v>
      </c>
      <c r="N154" s="3"/>
      <c r="O154" s="3"/>
      <c r="P154" s="3"/>
    </row>
    <row r="155" customFormat="false" ht="15.75" hidden="false" customHeight="true" outlineLevel="0" collapsed="false">
      <c r="A155" s="8" t="n">
        <v>46167</v>
      </c>
      <c r="B155" s="7" t="s">
        <v>166</v>
      </c>
      <c r="C155" s="7" t="s">
        <v>167</v>
      </c>
      <c r="D155" s="7" t="s">
        <v>158</v>
      </c>
      <c r="E155" s="7" t="s">
        <v>159</v>
      </c>
      <c r="F155" s="7" t="s">
        <v>160</v>
      </c>
      <c r="G155" s="7" t="s">
        <v>39</v>
      </c>
      <c r="H155" s="7" t="n">
        <v>19</v>
      </c>
      <c r="I155" s="7" t="n">
        <v>24</v>
      </c>
      <c r="J155" s="7" t="n">
        <v>13</v>
      </c>
      <c r="K155" s="7" t="n">
        <v>74</v>
      </c>
      <c r="L155" s="7" t="n">
        <v>0</v>
      </c>
      <c r="M155" s="22" t="n">
        <v>0</v>
      </c>
      <c r="N155" s="3"/>
      <c r="O155" s="3"/>
      <c r="P155" s="3"/>
    </row>
    <row r="156" customFormat="false" ht="15.75" hidden="false" customHeight="true" outlineLevel="0" collapsed="false">
      <c r="A156" s="8" t="n">
        <v>46168</v>
      </c>
      <c r="B156" s="7" t="s">
        <v>157</v>
      </c>
      <c r="C156" s="7" t="s">
        <v>92</v>
      </c>
      <c r="D156" s="7" t="s">
        <v>158</v>
      </c>
      <c r="E156" s="7" t="s">
        <v>159</v>
      </c>
      <c r="F156" s="7" t="s">
        <v>160</v>
      </c>
      <c r="G156" s="7" t="s">
        <v>39</v>
      </c>
      <c r="H156" s="7" t="n">
        <v>51</v>
      </c>
      <c r="I156" s="7" t="n">
        <v>62</v>
      </c>
      <c r="J156" s="7" t="n">
        <v>40</v>
      </c>
      <c r="K156" s="7" t="n">
        <v>83</v>
      </c>
      <c r="L156" s="7" t="n">
        <v>0</v>
      </c>
      <c r="M156" s="22" t="n">
        <v>0</v>
      </c>
      <c r="N156" s="3"/>
      <c r="O156" s="3"/>
      <c r="P156" s="3"/>
    </row>
    <row r="157" customFormat="false" ht="15.75" hidden="false" customHeight="true" outlineLevel="0" collapsed="false">
      <c r="A157" s="8" t="n">
        <v>46168</v>
      </c>
      <c r="B157" s="7" t="s">
        <v>161</v>
      </c>
      <c r="C157" s="7" t="s">
        <v>92</v>
      </c>
      <c r="D157" s="7" t="s">
        <v>158</v>
      </c>
      <c r="E157" s="7" t="s">
        <v>159</v>
      </c>
      <c r="F157" s="7" t="s">
        <v>160</v>
      </c>
      <c r="G157" s="7" t="s">
        <v>39</v>
      </c>
      <c r="H157" s="7" t="n">
        <v>47</v>
      </c>
      <c r="I157" s="7" t="n">
        <v>57</v>
      </c>
      <c r="J157" s="7" t="n">
        <v>37</v>
      </c>
      <c r="K157" s="7" t="n">
        <v>88</v>
      </c>
      <c r="L157" s="7" t="n">
        <v>0</v>
      </c>
      <c r="M157" s="22" t="n">
        <v>0</v>
      </c>
      <c r="N157" s="3"/>
      <c r="O157" s="3"/>
      <c r="P157" s="3"/>
    </row>
    <row r="158" customFormat="false" ht="15.75" hidden="false" customHeight="true" outlineLevel="0" collapsed="false">
      <c r="A158" s="8" t="n">
        <v>46168</v>
      </c>
      <c r="B158" s="7" t="s">
        <v>162</v>
      </c>
      <c r="C158" s="7" t="s">
        <v>97</v>
      </c>
      <c r="D158" s="7" t="s">
        <v>158</v>
      </c>
      <c r="E158" s="7" t="s">
        <v>159</v>
      </c>
      <c r="F158" s="7" t="s">
        <v>160</v>
      </c>
      <c r="G158" s="7" t="s">
        <v>39</v>
      </c>
      <c r="H158" s="7" t="n">
        <v>39</v>
      </c>
      <c r="I158" s="7" t="n">
        <v>47</v>
      </c>
      <c r="J158" s="7" t="n">
        <v>28</v>
      </c>
      <c r="K158" s="7" t="n">
        <v>110</v>
      </c>
      <c r="L158" s="7" t="n">
        <v>0</v>
      </c>
      <c r="M158" s="22" t="n">
        <v>0</v>
      </c>
      <c r="N158" s="3"/>
      <c r="O158" s="3"/>
      <c r="P158" s="3"/>
    </row>
    <row r="159" customFormat="false" ht="15.75" hidden="false" customHeight="true" outlineLevel="0" collapsed="false">
      <c r="A159" s="8" t="n">
        <v>46168</v>
      </c>
      <c r="B159" s="7" t="s">
        <v>163</v>
      </c>
      <c r="C159" s="7" t="s">
        <v>97</v>
      </c>
      <c r="D159" s="7" t="s">
        <v>158</v>
      </c>
      <c r="E159" s="7" t="s">
        <v>159</v>
      </c>
      <c r="F159" s="7" t="s">
        <v>160</v>
      </c>
      <c r="G159" s="7" t="s">
        <v>39</v>
      </c>
      <c r="H159" s="7" t="n">
        <v>32</v>
      </c>
      <c r="I159" s="7" t="n">
        <v>39</v>
      </c>
      <c r="J159" s="7" t="n">
        <v>23</v>
      </c>
      <c r="K159" s="7" t="n">
        <v>114</v>
      </c>
      <c r="L159" s="7" t="n">
        <v>0</v>
      </c>
      <c r="M159" s="22" t="n">
        <v>0</v>
      </c>
      <c r="N159" s="3"/>
      <c r="O159" s="3"/>
      <c r="P159" s="3"/>
    </row>
    <row r="160" customFormat="false" ht="15.75" hidden="false" customHeight="true" outlineLevel="0" collapsed="false">
      <c r="A160" s="8" t="n">
        <v>46168</v>
      </c>
      <c r="B160" s="7" t="s">
        <v>164</v>
      </c>
      <c r="C160" s="7" t="s">
        <v>87</v>
      </c>
      <c r="D160" s="7" t="s">
        <v>158</v>
      </c>
      <c r="E160" s="7" t="s">
        <v>159</v>
      </c>
      <c r="F160" s="7" t="s">
        <v>165</v>
      </c>
      <c r="G160" s="7" t="s">
        <v>39</v>
      </c>
      <c r="H160" s="7" t="n">
        <v>24</v>
      </c>
      <c r="I160" s="7" t="n">
        <v>30</v>
      </c>
      <c r="J160" s="7" t="n">
        <v>16</v>
      </c>
      <c r="K160" s="7" t="n">
        <v>85</v>
      </c>
      <c r="L160" s="7" t="n">
        <v>0</v>
      </c>
      <c r="M160" s="22" t="n">
        <v>0</v>
      </c>
      <c r="N160" s="3"/>
      <c r="O160" s="3"/>
      <c r="P160" s="3"/>
    </row>
    <row r="161" customFormat="false" ht="15.75" hidden="false" customHeight="true" outlineLevel="0" collapsed="false">
      <c r="A161" s="8" t="n">
        <v>46168</v>
      </c>
      <c r="B161" s="7" t="s">
        <v>166</v>
      </c>
      <c r="C161" s="7" t="s">
        <v>167</v>
      </c>
      <c r="D161" s="7" t="s">
        <v>158</v>
      </c>
      <c r="E161" s="7" t="s">
        <v>159</v>
      </c>
      <c r="F161" s="7" t="s">
        <v>160</v>
      </c>
      <c r="G161" s="7" t="s">
        <v>39</v>
      </c>
      <c r="H161" s="7" t="n">
        <v>21</v>
      </c>
      <c r="I161" s="7" t="n">
        <v>26</v>
      </c>
      <c r="J161" s="7" t="n">
        <v>14</v>
      </c>
      <c r="K161" s="7" t="n">
        <v>82</v>
      </c>
      <c r="L161" s="7" t="n">
        <v>0</v>
      </c>
      <c r="M161" s="22" t="n">
        <v>0</v>
      </c>
      <c r="N161" s="3"/>
      <c r="O161" s="3"/>
      <c r="P161" s="3"/>
    </row>
    <row r="162" customFormat="false" ht="15.75" hidden="false" customHeight="true" outlineLevel="0" collapsed="false">
      <c r="A162" s="8" t="n">
        <v>46169</v>
      </c>
      <c r="B162" s="7" t="s">
        <v>157</v>
      </c>
      <c r="C162" s="7" t="s">
        <v>92</v>
      </c>
      <c r="D162" s="7" t="s">
        <v>158</v>
      </c>
      <c r="E162" s="7" t="s">
        <v>159</v>
      </c>
      <c r="F162" s="7" t="s">
        <v>160</v>
      </c>
      <c r="G162" s="7" t="s">
        <v>39</v>
      </c>
      <c r="H162" s="7" t="n">
        <v>50</v>
      </c>
      <c r="I162" s="7" t="n">
        <v>61</v>
      </c>
      <c r="J162" s="7" t="n">
        <v>40</v>
      </c>
      <c r="K162" s="7" t="n">
        <v>107</v>
      </c>
      <c r="L162" s="7" t="n">
        <v>0</v>
      </c>
      <c r="M162" s="22" t="n">
        <v>0</v>
      </c>
      <c r="N162" s="3"/>
      <c r="O162" s="3"/>
      <c r="P162" s="3"/>
    </row>
    <row r="163" customFormat="false" ht="15.75" hidden="false" customHeight="true" outlineLevel="0" collapsed="false">
      <c r="A163" s="8" t="n">
        <v>46169</v>
      </c>
      <c r="B163" s="7" t="s">
        <v>161</v>
      </c>
      <c r="C163" s="7" t="s">
        <v>92</v>
      </c>
      <c r="D163" s="7" t="s">
        <v>158</v>
      </c>
      <c r="E163" s="7" t="s">
        <v>159</v>
      </c>
      <c r="F163" s="7" t="s">
        <v>165</v>
      </c>
      <c r="G163" s="7" t="s">
        <v>39</v>
      </c>
      <c r="H163" s="7" t="n">
        <v>44</v>
      </c>
      <c r="I163" s="7" t="n">
        <v>54</v>
      </c>
      <c r="J163" s="7" t="n">
        <v>35</v>
      </c>
      <c r="K163" s="7" t="n">
        <v>106</v>
      </c>
      <c r="L163" s="7" t="n">
        <v>0</v>
      </c>
      <c r="M163" s="22" t="n">
        <v>0</v>
      </c>
      <c r="N163" s="3"/>
      <c r="O163" s="3"/>
      <c r="P163" s="3"/>
    </row>
    <row r="164" customFormat="false" ht="15.75" hidden="false" customHeight="true" outlineLevel="0" collapsed="false">
      <c r="A164" s="8" t="n">
        <v>46169</v>
      </c>
      <c r="B164" s="7" t="s">
        <v>162</v>
      </c>
      <c r="C164" s="7" t="s">
        <v>97</v>
      </c>
      <c r="D164" s="7" t="s">
        <v>158</v>
      </c>
      <c r="E164" s="7" t="s">
        <v>159</v>
      </c>
      <c r="F164" s="7" t="s">
        <v>165</v>
      </c>
      <c r="G164" s="7" t="s">
        <v>39</v>
      </c>
      <c r="H164" s="7" t="n">
        <v>39</v>
      </c>
      <c r="I164" s="7" t="n">
        <v>48</v>
      </c>
      <c r="J164" s="7" t="n">
        <v>28</v>
      </c>
      <c r="K164" s="7" t="n">
        <v>102</v>
      </c>
      <c r="L164" s="7" t="n">
        <v>0</v>
      </c>
      <c r="M164" s="22" t="n">
        <v>0</v>
      </c>
      <c r="N164" s="3"/>
      <c r="O164" s="3"/>
      <c r="P164" s="3"/>
    </row>
    <row r="165" customFormat="false" ht="15.75" hidden="false" customHeight="true" outlineLevel="0" collapsed="false">
      <c r="A165" s="8" t="n">
        <v>46169</v>
      </c>
      <c r="B165" s="7" t="s">
        <v>163</v>
      </c>
      <c r="C165" s="7" t="s">
        <v>97</v>
      </c>
      <c r="D165" s="7" t="s">
        <v>158</v>
      </c>
      <c r="E165" s="7" t="s">
        <v>159</v>
      </c>
      <c r="F165" s="7" t="s">
        <v>165</v>
      </c>
      <c r="G165" s="7" t="s">
        <v>39</v>
      </c>
      <c r="H165" s="7" t="n">
        <v>39</v>
      </c>
      <c r="I165" s="7" t="n">
        <v>47</v>
      </c>
      <c r="J165" s="7" t="n">
        <v>28</v>
      </c>
      <c r="K165" s="7" t="n">
        <v>122</v>
      </c>
      <c r="L165" s="7" t="n">
        <v>0</v>
      </c>
      <c r="M165" s="22" t="n">
        <v>0</v>
      </c>
      <c r="N165" s="3"/>
      <c r="O165" s="3"/>
      <c r="P165" s="3"/>
    </row>
    <row r="166" customFormat="false" ht="15.75" hidden="false" customHeight="true" outlineLevel="0" collapsed="false">
      <c r="A166" s="8" t="n">
        <v>46169</v>
      </c>
      <c r="B166" s="7" t="s">
        <v>164</v>
      </c>
      <c r="C166" s="7" t="s">
        <v>87</v>
      </c>
      <c r="D166" s="7" t="s">
        <v>158</v>
      </c>
      <c r="E166" s="7" t="s">
        <v>159</v>
      </c>
      <c r="F166" s="7" t="s">
        <v>160</v>
      </c>
      <c r="G166" s="7" t="s">
        <v>39</v>
      </c>
      <c r="H166" s="7" t="n">
        <v>33</v>
      </c>
      <c r="I166" s="7" t="n">
        <v>40</v>
      </c>
      <c r="J166" s="7" t="n">
        <v>22</v>
      </c>
      <c r="K166" s="7" t="n">
        <v>69</v>
      </c>
      <c r="L166" s="7" t="n">
        <v>0</v>
      </c>
      <c r="M166" s="22" t="n">
        <v>0</v>
      </c>
      <c r="N166" s="3"/>
      <c r="O166" s="3"/>
      <c r="P166" s="3"/>
    </row>
    <row r="167" customFormat="false" ht="15.75" hidden="false" customHeight="true" outlineLevel="0" collapsed="false">
      <c r="A167" s="8" t="n">
        <v>46169</v>
      </c>
      <c r="B167" s="7" t="s">
        <v>166</v>
      </c>
      <c r="C167" s="7" t="s">
        <v>167</v>
      </c>
      <c r="D167" s="7" t="s">
        <v>158</v>
      </c>
      <c r="E167" s="7" t="s">
        <v>159</v>
      </c>
      <c r="F167" s="7" t="s">
        <v>160</v>
      </c>
      <c r="G167" s="7" t="s">
        <v>39</v>
      </c>
      <c r="H167" s="7" t="n">
        <v>14</v>
      </c>
      <c r="I167" s="7" t="n">
        <v>18</v>
      </c>
      <c r="J167" s="7" t="n">
        <v>10</v>
      </c>
      <c r="K167" s="7" t="n">
        <v>72</v>
      </c>
      <c r="L167" s="7" t="n">
        <v>0</v>
      </c>
      <c r="M167" s="22" t="n">
        <v>0</v>
      </c>
      <c r="N167" s="3"/>
      <c r="O167" s="3"/>
      <c r="P167" s="3"/>
    </row>
    <row r="168" customFormat="false" ht="15.75" hidden="false" customHeight="true" outlineLevel="0" collapsed="false">
      <c r="A168" s="8" t="n">
        <v>46170</v>
      </c>
      <c r="B168" s="7" t="s">
        <v>157</v>
      </c>
      <c r="C168" s="7" t="s">
        <v>92</v>
      </c>
      <c r="D168" s="7" t="s">
        <v>158</v>
      </c>
      <c r="E168" s="7" t="s">
        <v>159</v>
      </c>
      <c r="F168" s="7" t="s">
        <v>160</v>
      </c>
      <c r="G168" s="7" t="s">
        <v>39</v>
      </c>
      <c r="H168" s="7" t="n">
        <v>51</v>
      </c>
      <c r="I168" s="7" t="n">
        <v>62</v>
      </c>
      <c r="J168" s="7" t="n">
        <v>40</v>
      </c>
      <c r="K168" s="7" t="n">
        <v>103</v>
      </c>
      <c r="L168" s="7" t="n">
        <v>0</v>
      </c>
      <c r="M168" s="22" t="n">
        <v>0</v>
      </c>
      <c r="N168" s="3"/>
      <c r="O168" s="3"/>
      <c r="P168" s="3"/>
    </row>
    <row r="169" customFormat="false" ht="15.75" hidden="false" customHeight="true" outlineLevel="0" collapsed="false">
      <c r="A169" s="8" t="n">
        <v>46170</v>
      </c>
      <c r="B169" s="7" t="s">
        <v>161</v>
      </c>
      <c r="C169" s="7" t="s">
        <v>92</v>
      </c>
      <c r="D169" s="7" t="s">
        <v>158</v>
      </c>
      <c r="E169" s="7" t="s">
        <v>159</v>
      </c>
      <c r="F169" s="7" t="s">
        <v>160</v>
      </c>
      <c r="G169" s="7" t="s">
        <v>39</v>
      </c>
      <c r="H169" s="7" t="n">
        <v>48</v>
      </c>
      <c r="I169" s="7" t="n">
        <v>59</v>
      </c>
      <c r="J169" s="7" t="n">
        <v>38</v>
      </c>
      <c r="K169" s="7" t="n">
        <v>104</v>
      </c>
      <c r="L169" s="7" t="n">
        <v>0</v>
      </c>
      <c r="M169" s="22" t="n">
        <v>0</v>
      </c>
      <c r="N169" s="3"/>
      <c r="O169" s="3"/>
      <c r="P169" s="3"/>
    </row>
    <row r="170" customFormat="false" ht="15.75" hidden="false" customHeight="true" outlineLevel="0" collapsed="false">
      <c r="A170" s="8" t="n">
        <v>46170</v>
      </c>
      <c r="B170" s="7" t="s">
        <v>162</v>
      </c>
      <c r="C170" s="7" t="s">
        <v>97</v>
      </c>
      <c r="D170" s="7" t="s">
        <v>158</v>
      </c>
      <c r="E170" s="7" t="s">
        <v>159</v>
      </c>
      <c r="F170" s="7" t="s">
        <v>160</v>
      </c>
      <c r="G170" s="7" t="s">
        <v>39</v>
      </c>
      <c r="H170" s="7" t="n">
        <v>39</v>
      </c>
      <c r="I170" s="7" t="n">
        <v>48</v>
      </c>
      <c r="J170" s="7" t="n">
        <v>28</v>
      </c>
      <c r="K170" s="7" t="n">
        <v>116</v>
      </c>
      <c r="L170" s="7" t="n">
        <v>0</v>
      </c>
      <c r="M170" s="22" t="n">
        <v>0</v>
      </c>
      <c r="N170" s="3"/>
      <c r="O170" s="3"/>
      <c r="P170" s="3"/>
    </row>
    <row r="171" customFormat="false" ht="15.75" hidden="false" customHeight="true" outlineLevel="0" collapsed="false">
      <c r="A171" s="8" t="n">
        <v>46170</v>
      </c>
      <c r="B171" s="7" t="s">
        <v>163</v>
      </c>
      <c r="C171" s="7" t="s">
        <v>97</v>
      </c>
      <c r="D171" s="7" t="s">
        <v>158</v>
      </c>
      <c r="E171" s="7" t="s">
        <v>159</v>
      </c>
      <c r="F171" s="7" t="s">
        <v>160</v>
      </c>
      <c r="G171" s="7" t="s">
        <v>39</v>
      </c>
      <c r="H171" s="7" t="n">
        <v>39</v>
      </c>
      <c r="I171" s="7" t="n">
        <v>48</v>
      </c>
      <c r="J171" s="7" t="n">
        <v>28</v>
      </c>
      <c r="K171" s="7" t="n">
        <v>114</v>
      </c>
      <c r="L171" s="7" t="n">
        <v>0</v>
      </c>
      <c r="M171" s="22" t="n">
        <v>0</v>
      </c>
      <c r="N171" s="3"/>
      <c r="O171" s="3"/>
      <c r="P171" s="3"/>
    </row>
    <row r="172" customFormat="false" ht="15.75" hidden="false" customHeight="true" outlineLevel="0" collapsed="false">
      <c r="A172" s="8" t="n">
        <v>46170</v>
      </c>
      <c r="B172" s="7" t="s">
        <v>164</v>
      </c>
      <c r="C172" s="7" t="s">
        <v>87</v>
      </c>
      <c r="D172" s="7" t="s">
        <v>158</v>
      </c>
      <c r="E172" s="7" t="s">
        <v>159</v>
      </c>
      <c r="F172" s="7" t="s">
        <v>165</v>
      </c>
      <c r="G172" s="7" t="s">
        <v>39</v>
      </c>
      <c r="H172" s="7" t="n">
        <v>25</v>
      </c>
      <c r="I172" s="7" t="n">
        <v>31</v>
      </c>
      <c r="J172" s="7" t="n">
        <v>17</v>
      </c>
      <c r="K172" s="7" t="n">
        <v>87</v>
      </c>
      <c r="L172" s="7" t="n">
        <v>0</v>
      </c>
      <c r="M172" s="22" t="n">
        <v>0</v>
      </c>
      <c r="N172" s="3"/>
      <c r="O172" s="3"/>
      <c r="P172" s="3"/>
    </row>
    <row r="173" customFormat="false" ht="15.75" hidden="false" customHeight="true" outlineLevel="0" collapsed="false">
      <c r="A173" s="8" t="n">
        <v>46170</v>
      </c>
      <c r="B173" s="7" t="s">
        <v>166</v>
      </c>
      <c r="C173" s="7" t="s">
        <v>167</v>
      </c>
      <c r="D173" s="7" t="s">
        <v>158</v>
      </c>
      <c r="E173" s="7" t="s">
        <v>159</v>
      </c>
      <c r="F173" s="7" t="s">
        <v>160</v>
      </c>
      <c r="G173" s="7" t="s">
        <v>39</v>
      </c>
      <c r="H173" s="7" t="n">
        <v>6</v>
      </c>
      <c r="I173" s="7" t="n">
        <v>8</v>
      </c>
      <c r="J173" s="7" t="n">
        <v>4</v>
      </c>
      <c r="K173" s="7" t="n">
        <v>66</v>
      </c>
      <c r="L173" s="7" t="n">
        <v>0</v>
      </c>
      <c r="M173" s="22" t="n">
        <v>0</v>
      </c>
      <c r="N173" s="3"/>
      <c r="O173" s="3"/>
      <c r="P173" s="3"/>
    </row>
    <row r="174" customFormat="false" ht="15.75" hidden="false" customHeight="true" outlineLevel="0" collapsed="false">
      <c r="A174" s="8" t="n">
        <v>46171</v>
      </c>
      <c r="B174" s="7" t="s">
        <v>157</v>
      </c>
      <c r="C174" s="7" t="s">
        <v>92</v>
      </c>
      <c r="D174" s="7" t="s">
        <v>158</v>
      </c>
      <c r="E174" s="7" t="s">
        <v>159</v>
      </c>
      <c r="F174" s="7" t="s">
        <v>160</v>
      </c>
      <c r="G174" s="7" t="s">
        <v>39</v>
      </c>
      <c r="H174" s="7" t="n">
        <v>48</v>
      </c>
      <c r="I174" s="7" t="n">
        <v>58</v>
      </c>
      <c r="J174" s="7" t="n">
        <v>38</v>
      </c>
      <c r="K174" s="7" t="n">
        <v>91</v>
      </c>
      <c r="L174" s="7" t="n">
        <v>0</v>
      </c>
      <c r="M174" s="22" t="n">
        <v>0</v>
      </c>
      <c r="N174" s="3"/>
      <c r="O174" s="3"/>
      <c r="P174" s="3"/>
    </row>
    <row r="175" customFormat="false" ht="15.75" hidden="false" customHeight="true" outlineLevel="0" collapsed="false">
      <c r="A175" s="8" t="n">
        <v>46171</v>
      </c>
      <c r="B175" s="7" t="s">
        <v>161</v>
      </c>
      <c r="C175" s="7" t="s">
        <v>92</v>
      </c>
      <c r="D175" s="7" t="s">
        <v>158</v>
      </c>
      <c r="E175" s="7" t="s">
        <v>159</v>
      </c>
      <c r="F175" s="7" t="s">
        <v>160</v>
      </c>
      <c r="G175" s="7" t="s">
        <v>39</v>
      </c>
      <c r="H175" s="7" t="n">
        <v>43</v>
      </c>
      <c r="I175" s="7" t="n">
        <v>52</v>
      </c>
      <c r="J175" s="7" t="n">
        <v>34</v>
      </c>
      <c r="K175" s="7" t="n">
        <v>107</v>
      </c>
      <c r="L175" s="7" t="n">
        <v>0</v>
      </c>
      <c r="M175" s="22" t="n">
        <v>0</v>
      </c>
      <c r="N175" s="3"/>
      <c r="O175" s="3"/>
      <c r="P175" s="3"/>
    </row>
    <row r="176" customFormat="false" ht="15.75" hidden="false" customHeight="true" outlineLevel="0" collapsed="false">
      <c r="A176" s="8" t="n">
        <v>46171</v>
      </c>
      <c r="B176" s="7" t="s">
        <v>162</v>
      </c>
      <c r="C176" s="7" t="s">
        <v>97</v>
      </c>
      <c r="D176" s="7" t="s">
        <v>158</v>
      </c>
      <c r="E176" s="7" t="s">
        <v>159</v>
      </c>
      <c r="F176" s="7" t="s">
        <v>160</v>
      </c>
      <c r="G176" s="7" t="s">
        <v>39</v>
      </c>
      <c r="H176" s="7" t="n">
        <v>29</v>
      </c>
      <c r="I176" s="7" t="n">
        <v>36</v>
      </c>
      <c r="J176" s="7" t="n">
        <v>21</v>
      </c>
      <c r="K176" s="7" t="n">
        <v>101</v>
      </c>
      <c r="L176" s="7" t="n">
        <v>0</v>
      </c>
      <c r="M176" s="22" t="n">
        <v>0</v>
      </c>
      <c r="N176" s="3"/>
      <c r="O176" s="3"/>
      <c r="P176" s="3"/>
    </row>
    <row r="177" customFormat="false" ht="15.75" hidden="false" customHeight="true" outlineLevel="0" collapsed="false">
      <c r="A177" s="8" t="n">
        <v>46171</v>
      </c>
      <c r="B177" s="7" t="s">
        <v>163</v>
      </c>
      <c r="C177" s="7" t="s">
        <v>97</v>
      </c>
      <c r="D177" s="7" t="s">
        <v>158</v>
      </c>
      <c r="E177" s="7" t="s">
        <v>159</v>
      </c>
      <c r="F177" s="7" t="s">
        <v>160</v>
      </c>
      <c r="G177" s="7" t="s">
        <v>39</v>
      </c>
      <c r="H177" s="7" t="n">
        <v>38</v>
      </c>
      <c r="I177" s="7" t="n">
        <v>46</v>
      </c>
      <c r="J177" s="7" t="n">
        <v>27</v>
      </c>
      <c r="K177" s="7" t="n">
        <v>115</v>
      </c>
      <c r="L177" s="7" t="n">
        <v>0</v>
      </c>
      <c r="M177" s="22" t="n">
        <v>0</v>
      </c>
      <c r="N177" s="3"/>
      <c r="O177" s="3"/>
      <c r="P177" s="3"/>
    </row>
    <row r="178" customFormat="false" ht="15.75" hidden="false" customHeight="true" outlineLevel="0" collapsed="false">
      <c r="A178" s="8" t="n">
        <v>46171</v>
      </c>
      <c r="B178" s="7" t="s">
        <v>164</v>
      </c>
      <c r="C178" s="7" t="s">
        <v>87</v>
      </c>
      <c r="D178" s="7" t="s">
        <v>158</v>
      </c>
      <c r="E178" s="7" t="s">
        <v>159</v>
      </c>
      <c r="F178" s="7" t="s">
        <v>165</v>
      </c>
      <c r="G178" s="7" t="s">
        <v>39</v>
      </c>
      <c r="H178" s="7" t="n">
        <v>36</v>
      </c>
      <c r="I178" s="7" t="n">
        <v>44</v>
      </c>
      <c r="J178" s="7" t="n">
        <v>24</v>
      </c>
      <c r="K178" s="7" t="n">
        <v>81</v>
      </c>
      <c r="L178" s="7" t="n">
        <v>0</v>
      </c>
      <c r="M178" s="22" t="n">
        <v>0</v>
      </c>
      <c r="N178" s="3"/>
      <c r="O178" s="3"/>
      <c r="P178" s="3"/>
    </row>
    <row r="179" customFormat="false" ht="15.75" hidden="false" customHeight="true" outlineLevel="0" collapsed="false">
      <c r="A179" s="8" t="n">
        <v>46171</v>
      </c>
      <c r="B179" s="7" t="s">
        <v>166</v>
      </c>
      <c r="C179" s="7" t="s">
        <v>167</v>
      </c>
      <c r="D179" s="7" t="s">
        <v>158</v>
      </c>
      <c r="E179" s="7" t="s">
        <v>159</v>
      </c>
      <c r="F179" s="7" t="s">
        <v>160</v>
      </c>
      <c r="G179" s="7" t="s">
        <v>39</v>
      </c>
      <c r="H179" s="7" t="n">
        <v>18</v>
      </c>
      <c r="I179" s="7" t="n">
        <v>22</v>
      </c>
      <c r="J179" s="7" t="n">
        <v>12</v>
      </c>
      <c r="K179" s="7" t="n">
        <v>83</v>
      </c>
      <c r="L179" s="7" t="n">
        <v>0</v>
      </c>
      <c r="M179" s="22" t="n">
        <v>0</v>
      </c>
      <c r="N179" s="3"/>
      <c r="O179" s="3"/>
      <c r="P179" s="3"/>
    </row>
    <row r="180" customFormat="false" ht="15.75" hidden="false" customHeight="true" outlineLevel="0" collapsed="false">
      <c r="A180" s="8" t="n">
        <v>46172</v>
      </c>
      <c r="B180" s="7" t="s">
        <v>157</v>
      </c>
      <c r="C180" s="7" t="s">
        <v>92</v>
      </c>
      <c r="D180" s="7" t="s">
        <v>158</v>
      </c>
      <c r="E180" s="7" t="s">
        <v>159</v>
      </c>
      <c r="F180" s="7" t="s">
        <v>160</v>
      </c>
      <c r="G180" s="7" t="s">
        <v>39</v>
      </c>
      <c r="H180" s="7" t="n">
        <v>43</v>
      </c>
      <c r="I180" s="7" t="n">
        <v>52</v>
      </c>
      <c r="J180" s="7" t="n">
        <v>34</v>
      </c>
      <c r="K180" s="7" t="n">
        <v>95</v>
      </c>
      <c r="L180" s="7" t="n">
        <v>0</v>
      </c>
      <c r="M180" s="22" t="n">
        <v>0</v>
      </c>
      <c r="N180" s="3"/>
      <c r="O180" s="3"/>
      <c r="P180" s="3"/>
    </row>
    <row r="181" customFormat="false" ht="15.75" hidden="false" customHeight="true" outlineLevel="0" collapsed="false">
      <c r="A181" s="8" t="n">
        <v>46172</v>
      </c>
      <c r="B181" s="7" t="s">
        <v>161</v>
      </c>
      <c r="C181" s="7" t="s">
        <v>92</v>
      </c>
      <c r="D181" s="7" t="s">
        <v>158</v>
      </c>
      <c r="E181" s="7" t="s">
        <v>159</v>
      </c>
      <c r="F181" s="7" t="s">
        <v>160</v>
      </c>
      <c r="G181" s="7" t="s">
        <v>39</v>
      </c>
      <c r="H181" s="7" t="n">
        <v>46</v>
      </c>
      <c r="I181" s="7" t="n">
        <v>56</v>
      </c>
      <c r="J181" s="7" t="n">
        <v>36</v>
      </c>
      <c r="K181" s="7" t="n">
        <v>98</v>
      </c>
      <c r="L181" s="7" t="n">
        <v>0</v>
      </c>
      <c r="M181" s="22" t="n">
        <v>0</v>
      </c>
      <c r="N181" s="3"/>
      <c r="O181" s="3"/>
      <c r="P181" s="3"/>
    </row>
    <row r="182" customFormat="false" ht="15.75" hidden="false" customHeight="true" outlineLevel="0" collapsed="false">
      <c r="A182" s="8" t="n">
        <v>46172</v>
      </c>
      <c r="B182" s="7" t="s">
        <v>162</v>
      </c>
      <c r="C182" s="7" t="s">
        <v>97</v>
      </c>
      <c r="D182" s="7" t="s">
        <v>158</v>
      </c>
      <c r="E182" s="7" t="s">
        <v>159</v>
      </c>
      <c r="F182" s="7" t="s">
        <v>160</v>
      </c>
      <c r="G182" s="7" t="s">
        <v>39</v>
      </c>
      <c r="H182" s="7" t="n">
        <v>30</v>
      </c>
      <c r="I182" s="7" t="n">
        <v>37</v>
      </c>
      <c r="J182" s="7" t="n">
        <v>22</v>
      </c>
      <c r="K182" s="7" t="n">
        <v>111</v>
      </c>
      <c r="L182" s="7" t="n">
        <v>0</v>
      </c>
      <c r="M182" s="22" t="n">
        <v>0</v>
      </c>
      <c r="N182" s="3"/>
      <c r="O182" s="3"/>
      <c r="P182" s="3"/>
    </row>
    <row r="183" customFormat="false" ht="15.75" hidden="false" customHeight="true" outlineLevel="0" collapsed="false">
      <c r="A183" s="8" t="n">
        <v>46172</v>
      </c>
      <c r="B183" s="7" t="s">
        <v>163</v>
      </c>
      <c r="C183" s="7" t="s">
        <v>97</v>
      </c>
      <c r="D183" s="7" t="s">
        <v>158</v>
      </c>
      <c r="E183" s="7" t="s">
        <v>159</v>
      </c>
      <c r="F183" s="7" t="s">
        <v>160</v>
      </c>
      <c r="G183" s="7" t="s">
        <v>39</v>
      </c>
      <c r="H183" s="7" t="n">
        <v>43</v>
      </c>
      <c r="I183" s="7" t="n">
        <v>52</v>
      </c>
      <c r="J183" s="7" t="n">
        <v>31</v>
      </c>
      <c r="K183" s="7" t="n">
        <v>110</v>
      </c>
      <c r="L183" s="7" t="n">
        <v>0</v>
      </c>
      <c r="M183" s="22" t="n">
        <v>0</v>
      </c>
      <c r="N183" s="3"/>
      <c r="O183" s="3"/>
      <c r="P183" s="3"/>
    </row>
    <row r="184" customFormat="false" ht="15.75" hidden="false" customHeight="true" outlineLevel="0" collapsed="false">
      <c r="A184" s="8" t="n">
        <v>46172</v>
      </c>
      <c r="B184" s="7" t="s">
        <v>164</v>
      </c>
      <c r="C184" s="7" t="s">
        <v>87</v>
      </c>
      <c r="D184" s="7" t="s">
        <v>158</v>
      </c>
      <c r="E184" s="7" t="s">
        <v>159</v>
      </c>
      <c r="F184" s="7" t="s">
        <v>160</v>
      </c>
      <c r="G184" s="7" t="s">
        <v>39</v>
      </c>
      <c r="H184" s="7" t="n">
        <v>36</v>
      </c>
      <c r="I184" s="7" t="n">
        <v>44</v>
      </c>
      <c r="J184" s="7" t="n">
        <v>24</v>
      </c>
      <c r="K184" s="7" t="n">
        <v>72</v>
      </c>
      <c r="L184" s="7" t="n">
        <v>0</v>
      </c>
      <c r="M184" s="22" t="n">
        <v>0</v>
      </c>
      <c r="N184" s="3"/>
      <c r="O184" s="3"/>
      <c r="P184" s="3"/>
    </row>
    <row r="185" customFormat="false" ht="15.75" hidden="false" customHeight="true" outlineLevel="0" collapsed="false">
      <c r="A185" s="8" t="n">
        <v>46172</v>
      </c>
      <c r="B185" s="7" t="s">
        <v>166</v>
      </c>
      <c r="C185" s="7" t="s">
        <v>167</v>
      </c>
      <c r="D185" s="7" t="s">
        <v>158</v>
      </c>
      <c r="E185" s="7" t="s">
        <v>159</v>
      </c>
      <c r="F185" s="7" t="s">
        <v>160</v>
      </c>
      <c r="G185" s="7" t="s">
        <v>39</v>
      </c>
      <c r="H185" s="7" t="n">
        <v>20</v>
      </c>
      <c r="I185" s="7" t="n">
        <v>25</v>
      </c>
      <c r="J185" s="7" t="n">
        <v>14</v>
      </c>
      <c r="K185" s="7" t="n">
        <v>72</v>
      </c>
      <c r="L185" s="7" t="n">
        <v>0</v>
      </c>
      <c r="M185" s="22" t="n">
        <v>0</v>
      </c>
      <c r="N185" s="3"/>
      <c r="O185" s="3"/>
      <c r="P185" s="3"/>
    </row>
    <row r="186" customFormat="false" ht="15.75" hidden="false" customHeight="true" outlineLevel="0" collapsed="false">
      <c r="A186" s="8" t="n">
        <v>46173</v>
      </c>
      <c r="B186" s="7" t="s">
        <v>157</v>
      </c>
      <c r="C186" s="7" t="s">
        <v>92</v>
      </c>
      <c r="D186" s="7" t="s">
        <v>158</v>
      </c>
      <c r="E186" s="7" t="s">
        <v>159</v>
      </c>
      <c r="F186" s="7" t="s">
        <v>165</v>
      </c>
      <c r="G186" s="7" t="s">
        <v>39</v>
      </c>
      <c r="H186" s="7" t="n">
        <v>49</v>
      </c>
      <c r="I186" s="7" t="n">
        <v>60</v>
      </c>
      <c r="J186" s="7" t="n">
        <v>39</v>
      </c>
      <c r="K186" s="7" t="n">
        <v>83</v>
      </c>
      <c r="L186" s="7" t="n">
        <v>0</v>
      </c>
      <c r="M186" s="22" t="n">
        <v>0</v>
      </c>
      <c r="N186" s="3"/>
      <c r="O186" s="3"/>
      <c r="P186" s="3"/>
    </row>
    <row r="187" customFormat="false" ht="15.75" hidden="false" customHeight="true" outlineLevel="0" collapsed="false">
      <c r="A187" s="8" t="n">
        <v>46173</v>
      </c>
      <c r="B187" s="7" t="s">
        <v>161</v>
      </c>
      <c r="C187" s="7" t="s">
        <v>92</v>
      </c>
      <c r="D187" s="7" t="s">
        <v>158</v>
      </c>
      <c r="E187" s="7" t="s">
        <v>159</v>
      </c>
      <c r="F187" s="7" t="s">
        <v>160</v>
      </c>
      <c r="G187" s="7" t="s">
        <v>39</v>
      </c>
      <c r="H187" s="7" t="n">
        <v>57</v>
      </c>
      <c r="I187" s="7" t="n">
        <v>69</v>
      </c>
      <c r="J187" s="7" t="n">
        <v>45</v>
      </c>
      <c r="K187" s="7" t="n">
        <v>84</v>
      </c>
      <c r="L187" s="7" t="n">
        <v>0</v>
      </c>
      <c r="M187" s="22" t="n">
        <v>0</v>
      </c>
      <c r="N187" s="3"/>
      <c r="O187" s="3"/>
      <c r="P187" s="3"/>
    </row>
    <row r="188" customFormat="false" ht="15.75" hidden="false" customHeight="true" outlineLevel="0" collapsed="false">
      <c r="A188" s="8" t="n">
        <v>46173</v>
      </c>
      <c r="B188" s="7" t="s">
        <v>162</v>
      </c>
      <c r="C188" s="7" t="s">
        <v>97</v>
      </c>
      <c r="D188" s="7" t="s">
        <v>158</v>
      </c>
      <c r="E188" s="7" t="s">
        <v>159</v>
      </c>
      <c r="F188" s="7" t="s">
        <v>160</v>
      </c>
      <c r="G188" s="7" t="s">
        <v>39</v>
      </c>
      <c r="H188" s="7" t="n">
        <v>39</v>
      </c>
      <c r="I188" s="7" t="n">
        <v>48</v>
      </c>
      <c r="J188" s="7" t="n">
        <v>28</v>
      </c>
      <c r="K188" s="7" t="n">
        <v>99</v>
      </c>
      <c r="L188" s="7" t="n">
        <v>0</v>
      </c>
      <c r="M188" s="22" t="n">
        <v>0</v>
      </c>
      <c r="N188" s="3"/>
      <c r="O188" s="3"/>
      <c r="P188" s="3"/>
    </row>
    <row r="189" customFormat="false" ht="15.75" hidden="false" customHeight="true" outlineLevel="0" collapsed="false">
      <c r="A189" s="8" t="n">
        <v>46173</v>
      </c>
      <c r="B189" s="7" t="s">
        <v>163</v>
      </c>
      <c r="C189" s="7" t="s">
        <v>97</v>
      </c>
      <c r="D189" s="7" t="s">
        <v>158</v>
      </c>
      <c r="E189" s="7" t="s">
        <v>159</v>
      </c>
      <c r="F189" s="7" t="s">
        <v>165</v>
      </c>
      <c r="G189" s="7" t="s">
        <v>39</v>
      </c>
      <c r="H189" s="7" t="n">
        <v>30</v>
      </c>
      <c r="I189" s="7" t="n">
        <v>37</v>
      </c>
      <c r="J189" s="7" t="n">
        <v>22</v>
      </c>
      <c r="K189" s="7" t="n">
        <v>116</v>
      </c>
      <c r="L189" s="7" t="n">
        <v>0</v>
      </c>
      <c r="M189" s="22" t="n">
        <v>0</v>
      </c>
      <c r="N189" s="3"/>
      <c r="O189" s="3"/>
      <c r="P189" s="3"/>
    </row>
    <row r="190" customFormat="false" ht="15.75" hidden="false" customHeight="true" outlineLevel="0" collapsed="false">
      <c r="A190" s="8" t="n">
        <v>46173</v>
      </c>
      <c r="B190" s="7" t="s">
        <v>164</v>
      </c>
      <c r="C190" s="7" t="s">
        <v>87</v>
      </c>
      <c r="D190" s="7" t="s">
        <v>158</v>
      </c>
      <c r="E190" s="7" t="s">
        <v>159</v>
      </c>
      <c r="F190" s="7" t="s">
        <v>160</v>
      </c>
      <c r="G190" s="7" t="s">
        <v>39</v>
      </c>
      <c r="H190" s="7" t="n">
        <v>24</v>
      </c>
      <c r="I190" s="7" t="n">
        <v>30</v>
      </c>
      <c r="J190" s="7" t="n">
        <v>16</v>
      </c>
      <c r="K190" s="7" t="n">
        <v>70</v>
      </c>
      <c r="L190" s="7" t="n">
        <v>0</v>
      </c>
      <c r="M190" s="22" t="n">
        <v>0</v>
      </c>
      <c r="N190" s="3"/>
      <c r="O190" s="3"/>
      <c r="P190" s="3"/>
    </row>
    <row r="191" customFormat="false" ht="15.75" hidden="false" customHeight="true" outlineLevel="0" collapsed="false">
      <c r="A191" s="8" t="n">
        <v>46173</v>
      </c>
      <c r="B191" s="7" t="s">
        <v>166</v>
      </c>
      <c r="C191" s="7" t="s">
        <v>167</v>
      </c>
      <c r="D191" s="7" t="s">
        <v>158</v>
      </c>
      <c r="E191" s="7" t="s">
        <v>159</v>
      </c>
      <c r="F191" s="7" t="s">
        <v>160</v>
      </c>
      <c r="G191" s="7" t="s">
        <v>39</v>
      </c>
      <c r="H191" s="7" t="n">
        <v>13</v>
      </c>
      <c r="I191" s="7" t="n">
        <v>16</v>
      </c>
      <c r="J191" s="7" t="n">
        <v>8</v>
      </c>
      <c r="K191" s="7" t="n">
        <v>87</v>
      </c>
      <c r="L191" s="7" t="n">
        <v>0</v>
      </c>
      <c r="M191" s="22" t="n">
        <v>0</v>
      </c>
      <c r="N191" s="3"/>
      <c r="O191" s="3"/>
      <c r="P191" s="3"/>
    </row>
    <row r="192" customFormat="false" ht="15.75" hidden="false" customHeight="true" outlineLevel="0" collapsed="false">
      <c r="A192" s="8" t="n">
        <v>46174</v>
      </c>
      <c r="B192" s="7" t="s">
        <v>157</v>
      </c>
      <c r="C192" s="7" t="s">
        <v>92</v>
      </c>
      <c r="D192" s="7" t="s">
        <v>158</v>
      </c>
      <c r="E192" s="7" t="s">
        <v>159</v>
      </c>
      <c r="F192" s="7" t="s">
        <v>160</v>
      </c>
      <c r="G192" s="7" t="s">
        <v>39</v>
      </c>
      <c r="H192" s="7" t="n">
        <v>49</v>
      </c>
      <c r="I192" s="7" t="n">
        <v>60</v>
      </c>
      <c r="J192" s="7" t="n">
        <v>39</v>
      </c>
      <c r="K192" s="7" t="n">
        <v>106</v>
      </c>
      <c r="L192" s="7" t="n">
        <v>0</v>
      </c>
      <c r="M192" s="22" t="n">
        <v>0</v>
      </c>
      <c r="N192" s="3"/>
      <c r="O192" s="3"/>
      <c r="P192" s="3"/>
    </row>
    <row r="193" customFormat="false" ht="15.75" hidden="false" customHeight="true" outlineLevel="0" collapsed="false">
      <c r="A193" s="8" t="n">
        <v>46174</v>
      </c>
      <c r="B193" s="7" t="s">
        <v>161</v>
      </c>
      <c r="C193" s="7" t="s">
        <v>92</v>
      </c>
      <c r="D193" s="7" t="s">
        <v>158</v>
      </c>
      <c r="E193" s="7" t="s">
        <v>159</v>
      </c>
      <c r="F193" s="7" t="s">
        <v>160</v>
      </c>
      <c r="G193" s="7" t="s">
        <v>39</v>
      </c>
      <c r="H193" s="7" t="n">
        <v>53</v>
      </c>
      <c r="I193" s="7" t="n">
        <v>64</v>
      </c>
      <c r="J193" s="7" t="n">
        <v>42</v>
      </c>
      <c r="K193" s="7" t="n">
        <v>102</v>
      </c>
      <c r="L193" s="7" t="n">
        <v>0</v>
      </c>
      <c r="M193" s="22" t="n">
        <v>0</v>
      </c>
      <c r="N193" s="3"/>
      <c r="O193" s="3"/>
      <c r="P193" s="3"/>
    </row>
    <row r="194" customFormat="false" ht="15.75" hidden="false" customHeight="true" outlineLevel="0" collapsed="false">
      <c r="A194" s="8" t="n">
        <v>46174</v>
      </c>
      <c r="B194" s="7" t="s">
        <v>162</v>
      </c>
      <c r="C194" s="7" t="s">
        <v>97</v>
      </c>
      <c r="D194" s="7" t="s">
        <v>158</v>
      </c>
      <c r="E194" s="7" t="s">
        <v>159</v>
      </c>
      <c r="F194" s="7" t="s">
        <v>160</v>
      </c>
      <c r="G194" s="7" t="s">
        <v>39</v>
      </c>
      <c r="H194" s="7" t="n">
        <v>43</v>
      </c>
      <c r="I194" s="7" t="n">
        <v>53</v>
      </c>
      <c r="J194" s="7" t="n">
        <v>31</v>
      </c>
      <c r="K194" s="7" t="n">
        <v>112</v>
      </c>
      <c r="L194" s="7" t="n">
        <v>0</v>
      </c>
      <c r="M194" s="22" t="n">
        <v>0</v>
      </c>
      <c r="N194" s="3"/>
      <c r="O194" s="3"/>
      <c r="P194" s="3"/>
    </row>
    <row r="195" customFormat="false" ht="15.75" hidden="false" customHeight="true" outlineLevel="0" collapsed="false">
      <c r="A195" s="8" t="n">
        <v>46174</v>
      </c>
      <c r="B195" s="7" t="s">
        <v>163</v>
      </c>
      <c r="C195" s="7" t="s">
        <v>97</v>
      </c>
      <c r="D195" s="7" t="s">
        <v>158</v>
      </c>
      <c r="E195" s="7" t="s">
        <v>159</v>
      </c>
      <c r="F195" s="7" t="s">
        <v>160</v>
      </c>
      <c r="G195" s="7" t="s">
        <v>39</v>
      </c>
      <c r="H195" s="7" t="n">
        <v>34</v>
      </c>
      <c r="I195" s="7" t="n">
        <v>41</v>
      </c>
      <c r="J195" s="7" t="n">
        <v>24</v>
      </c>
      <c r="K195" s="7" t="n">
        <v>109</v>
      </c>
      <c r="L195" s="7" t="n">
        <v>0</v>
      </c>
      <c r="M195" s="22" t="n">
        <v>0</v>
      </c>
      <c r="N195" s="3"/>
      <c r="O195" s="3"/>
      <c r="P195" s="3"/>
    </row>
    <row r="196" customFormat="false" ht="15.75" hidden="false" customHeight="true" outlineLevel="0" collapsed="false">
      <c r="A196" s="8" t="n">
        <v>46174</v>
      </c>
      <c r="B196" s="7" t="s">
        <v>164</v>
      </c>
      <c r="C196" s="7" t="s">
        <v>87</v>
      </c>
      <c r="D196" s="7" t="s">
        <v>158</v>
      </c>
      <c r="E196" s="7" t="s">
        <v>159</v>
      </c>
      <c r="F196" s="7" t="s">
        <v>160</v>
      </c>
      <c r="G196" s="7" t="s">
        <v>39</v>
      </c>
      <c r="H196" s="7" t="n">
        <v>35</v>
      </c>
      <c r="I196" s="7" t="n">
        <v>43</v>
      </c>
      <c r="J196" s="7" t="n">
        <v>24</v>
      </c>
      <c r="K196" s="7" t="n">
        <v>77</v>
      </c>
      <c r="L196" s="7" t="n">
        <v>0</v>
      </c>
      <c r="M196" s="22" t="n">
        <v>0</v>
      </c>
      <c r="N196" s="3"/>
      <c r="O196" s="3"/>
      <c r="P196" s="3"/>
    </row>
    <row r="197" customFormat="false" ht="15.75" hidden="false" customHeight="true" outlineLevel="0" collapsed="false">
      <c r="A197" s="8" t="n">
        <v>46174</v>
      </c>
      <c r="B197" s="7" t="s">
        <v>166</v>
      </c>
      <c r="C197" s="7" t="s">
        <v>167</v>
      </c>
      <c r="D197" s="7" t="s">
        <v>158</v>
      </c>
      <c r="E197" s="7" t="s">
        <v>159</v>
      </c>
      <c r="F197" s="7" t="s">
        <v>160</v>
      </c>
      <c r="G197" s="7" t="s">
        <v>39</v>
      </c>
      <c r="H197" s="7" t="n">
        <v>19</v>
      </c>
      <c r="I197" s="7" t="n">
        <v>24</v>
      </c>
      <c r="J197" s="7" t="n">
        <v>13</v>
      </c>
      <c r="K197" s="7" t="n">
        <v>82</v>
      </c>
      <c r="L197" s="7" t="n">
        <v>0</v>
      </c>
      <c r="M197" s="22" t="n">
        <v>0</v>
      </c>
      <c r="N197" s="3"/>
      <c r="O197" s="3"/>
      <c r="P197" s="3"/>
    </row>
    <row r="198" customFormat="false" ht="15.75" hidden="false" customHeight="true" outlineLevel="0" collapsed="false">
      <c r="A198" s="8" t="n">
        <v>46175</v>
      </c>
      <c r="B198" s="7" t="s">
        <v>157</v>
      </c>
      <c r="C198" s="7" t="s">
        <v>92</v>
      </c>
      <c r="D198" s="7" t="s">
        <v>158</v>
      </c>
      <c r="E198" s="7" t="s">
        <v>159</v>
      </c>
      <c r="F198" s="7" t="s">
        <v>160</v>
      </c>
      <c r="G198" s="7" t="s">
        <v>39</v>
      </c>
      <c r="H198" s="7" t="n">
        <v>58</v>
      </c>
      <c r="I198" s="7" t="n">
        <v>70</v>
      </c>
      <c r="J198" s="7" t="n">
        <v>46</v>
      </c>
      <c r="K198" s="7" t="n">
        <v>94</v>
      </c>
      <c r="L198" s="7" t="n">
        <v>0</v>
      </c>
      <c r="M198" s="22" t="n">
        <v>0</v>
      </c>
      <c r="N198" s="3"/>
      <c r="O198" s="3"/>
      <c r="P198" s="3"/>
    </row>
    <row r="199" customFormat="false" ht="15.75" hidden="false" customHeight="true" outlineLevel="0" collapsed="false">
      <c r="A199" s="8" t="n">
        <v>46175</v>
      </c>
      <c r="B199" s="7" t="s">
        <v>161</v>
      </c>
      <c r="C199" s="7" t="s">
        <v>92</v>
      </c>
      <c r="D199" s="7" t="s">
        <v>158</v>
      </c>
      <c r="E199" s="7" t="s">
        <v>159</v>
      </c>
      <c r="F199" s="7" t="s">
        <v>160</v>
      </c>
      <c r="G199" s="7" t="s">
        <v>39</v>
      </c>
      <c r="H199" s="7" t="n">
        <v>50</v>
      </c>
      <c r="I199" s="7" t="n">
        <v>61</v>
      </c>
      <c r="J199" s="7" t="n">
        <v>40</v>
      </c>
      <c r="K199" s="7" t="n">
        <v>92</v>
      </c>
      <c r="L199" s="7" t="n">
        <v>0</v>
      </c>
      <c r="M199" s="22" t="n">
        <v>0</v>
      </c>
      <c r="N199" s="3"/>
      <c r="O199" s="3"/>
      <c r="P199" s="3"/>
    </row>
    <row r="200" customFormat="false" ht="15.75" hidden="false" customHeight="true" outlineLevel="0" collapsed="false">
      <c r="A200" s="8" t="n">
        <v>46175</v>
      </c>
      <c r="B200" s="7" t="s">
        <v>162</v>
      </c>
      <c r="C200" s="7" t="s">
        <v>97</v>
      </c>
      <c r="D200" s="7" t="s">
        <v>158</v>
      </c>
      <c r="E200" s="7" t="s">
        <v>159</v>
      </c>
      <c r="F200" s="7" t="s">
        <v>165</v>
      </c>
      <c r="G200" s="7" t="s">
        <v>39</v>
      </c>
      <c r="H200" s="7" t="n">
        <v>45</v>
      </c>
      <c r="I200" s="7" t="n">
        <v>55</v>
      </c>
      <c r="J200" s="7" t="n">
        <v>33</v>
      </c>
      <c r="K200" s="7" t="n">
        <v>101</v>
      </c>
      <c r="L200" s="7" t="n">
        <v>0</v>
      </c>
      <c r="M200" s="22" t="n">
        <v>0</v>
      </c>
      <c r="N200" s="3"/>
      <c r="O200" s="3"/>
      <c r="P200" s="3"/>
    </row>
    <row r="201" customFormat="false" ht="15.75" hidden="false" customHeight="true" outlineLevel="0" collapsed="false">
      <c r="A201" s="8" t="n">
        <v>46175</v>
      </c>
      <c r="B201" s="7" t="s">
        <v>163</v>
      </c>
      <c r="C201" s="7" t="s">
        <v>97</v>
      </c>
      <c r="D201" s="7" t="s">
        <v>158</v>
      </c>
      <c r="E201" s="7" t="s">
        <v>159</v>
      </c>
      <c r="F201" s="7" t="s">
        <v>160</v>
      </c>
      <c r="G201" s="7" t="s">
        <v>39</v>
      </c>
      <c r="H201" s="7" t="n">
        <v>46</v>
      </c>
      <c r="I201" s="7" t="n">
        <v>56</v>
      </c>
      <c r="J201" s="7" t="n">
        <v>33</v>
      </c>
      <c r="K201" s="7" t="n">
        <v>117</v>
      </c>
      <c r="L201" s="7" t="n">
        <v>0</v>
      </c>
      <c r="M201" s="22" t="n">
        <v>0</v>
      </c>
      <c r="N201" s="3"/>
      <c r="O201" s="3"/>
      <c r="P201" s="3"/>
    </row>
    <row r="202" customFormat="false" ht="15.75" hidden="false" customHeight="true" outlineLevel="0" collapsed="false">
      <c r="A202" s="8" t="n">
        <v>46175</v>
      </c>
      <c r="B202" s="7" t="s">
        <v>164</v>
      </c>
      <c r="C202" s="7" t="s">
        <v>87</v>
      </c>
      <c r="D202" s="7" t="s">
        <v>158</v>
      </c>
      <c r="E202" s="7" t="s">
        <v>159</v>
      </c>
      <c r="F202" s="7" t="s">
        <v>160</v>
      </c>
      <c r="G202" s="7" t="s">
        <v>39</v>
      </c>
      <c r="H202" s="7" t="n">
        <v>33</v>
      </c>
      <c r="I202" s="7" t="n">
        <v>40</v>
      </c>
      <c r="J202" s="7" t="n">
        <v>22</v>
      </c>
      <c r="K202" s="7" t="n">
        <v>82</v>
      </c>
      <c r="L202" s="7" t="n">
        <v>0</v>
      </c>
      <c r="M202" s="22" t="n">
        <v>0</v>
      </c>
      <c r="N202" s="3"/>
      <c r="O202" s="3"/>
      <c r="P202" s="3"/>
    </row>
    <row r="203" customFormat="false" ht="15.75" hidden="false" customHeight="true" outlineLevel="0" collapsed="false">
      <c r="A203" s="8" t="n">
        <v>46175</v>
      </c>
      <c r="B203" s="7" t="s">
        <v>166</v>
      </c>
      <c r="C203" s="7" t="s">
        <v>167</v>
      </c>
      <c r="D203" s="7" t="s">
        <v>158</v>
      </c>
      <c r="E203" s="7" t="s">
        <v>159</v>
      </c>
      <c r="F203" s="7" t="s">
        <v>160</v>
      </c>
      <c r="G203" s="7" t="s">
        <v>39</v>
      </c>
      <c r="H203" s="7" t="n">
        <v>23</v>
      </c>
      <c r="I203" s="7" t="n">
        <v>28</v>
      </c>
      <c r="J203" s="7" t="n">
        <v>15</v>
      </c>
      <c r="K203" s="7" t="n">
        <v>69</v>
      </c>
      <c r="L203" s="7" t="n">
        <v>0</v>
      </c>
      <c r="M203" s="22" t="n">
        <v>0</v>
      </c>
      <c r="N203" s="3"/>
      <c r="O203" s="3"/>
      <c r="P203" s="3"/>
    </row>
    <row r="204" customFormat="false" ht="15.75" hidden="false" customHeight="true" outlineLevel="0" collapsed="false">
      <c r="A204" s="8" t="n">
        <v>46176</v>
      </c>
      <c r="B204" s="7" t="s">
        <v>157</v>
      </c>
      <c r="C204" s="7" t="s">
        <v>92</v>
      </c>
      <c r="D204" s="7" t="s">
        <v>158</v>
      </c>
      <c r="E204" s="7" t="s">
        <v>159</v>
      </c>
      <c r="F204" s="7" t="s">
        <v>160</v>
      </c>
      <c r="G204" s="7" t="s">
        <v>39</v>
      </c>
      <c r="H204" s="7" t="n">
        <v>53</v>
      </c>
      <c r="I204" s="7" t="n">
        <v>64</v>
      </c>
      <c r="J204" s="7" t="n">
        <v>42</v>
      </c>
      <c r="K204" s="7" t="n">
        <v>89</v>
      </c>
      <c r="L204" s="7" t="n">
        <v>0</v>
      </c>
      <c r="M204" s="22" t="n">
        <v>0</v>
      </c>
      <c r="N204" s="3"/>
      <c r="O204" s="3"/>
      <c r="P204" s="3"/>
    </row>
    <row r="205" customFormat="false" ht="15.75" hidden="false" customHeight="true" outlineLevel="0" collapsed="false">
      <c r="A205" s="8" t="n">
        <v>46176</v>
      </c>
      <c r="B205" s="7" t="s">
        <v>161</v>
      </c>
      <c r="C205" s="7" t="s">
        <v>92</v>
      </c>
      <c r="D205" s="7" t="s">
        <v>158</v>
      </c>
      <c r="E205" s="7" t="s">
        <v>159</v>
      </c>
      <c r="F205" s="7" t="s">
        <v>160</v>
      </c>
      <c r="G205" s="7" t="s">
        <v>39</v>
      </c>
      <c r="H205" s="7" t="n">
        <v>52</v>
      </c>
      <c r="I205" s="7" t="n">
        <v>63</v>
      </c>
      <c r="J205" s="7" t="n">
        <v>41</v>
      </c>
      <c r="K205" s="7" t="n">
        <v>104</v>
      </c>
      <c r="L205" s="7" t="n">
        <v>0</v>
      </c>
      <c r="M205" s="22" t="n">
        <v>0</v>
      </c>
      <c r="N205" s="3"/>
      <c r="O205" s="3"/>
      <c r="P205" s="3"/>
    </row>
    <row r="206" customFormat="false" ht="15.75" hidden="false" customHeight="true" outlineLevel="0" collapsed="false">
      <c r="A206" s="8" t="n">
        <v>46176</v>
      </c>
      <c r="B206" s="7" t="s">
        <v>162</v>
      </c>
      <c r="C206" s="7" t="s">
        <v>97</v>
      </c>
      <c r="D206" s="7" t="s">
        <v>158</v>
      </c>
      <c r="E206" s="7" t="s">
        <v>159</v>
      </c>
      <c r="F206" s="7" t="s">
        <v>160</v>
      </c>
      <c r="G206" s="7" t="s">
        <v>39</v>
      </c>
      <c r="H206" s="7" t="n">
        <v>33</v>
      </c>
      <c r="I206" s="7" t="n">
        <v>40</v>
      </c>
      <c r="J206" s="7" t="n">
        <v>24</v>
      </c>
      <c r="K206" s="7" t="n">
        <v>106</v>
      </c>
      <c r="L206" s="7" t="n">
        <v>0</v>
      </c>
      <c r="M206" s="22" t="n">
        <v>0</v>
      </c>
      <c r="N206" s="3"/>
      <c r="O206" s="3"/>
      <c r="P206" s="3"/>
    </row>
    <row r="207" customFormat="false" ht="15.75" hidden="false" customHeight="true" outlineLevel="0" collapsed="false">
      <c r="A207" s="8" t="n">
        <v>46176</v>
      </c>
      <c r="B207" s="7" t="s">
        <v>163</v>
      </c>
      <c r="C207" s="7" t="s">
        <v>97</v>
      </c>
      <c r="D207" s="7" t="s">
        <v>158</v>
      </c>
      <c r="E207" s="7" t="s">
        <v>159</v>
      </c>
      <c r="F207" s="7" t="s">
        <v>160</v>
      </c>
      <c r="G207" s="7" t="s">
        <v>39</v>
      </c>
      <c r="H207" s="7" t="n">
        <v>34</v>
      </c>
      <c r="I207" s="7" t="n">
        <v>41</v>
      </c>
      <c r="J207" s="7" t="n">
        <v>24</v>
      </c>
      <c r="K207" s="7" t="n">
        <v>101</v>
      </c>
      <c r="L207" s="7" t="n">
        <v>0</v>
      </c>
      <c r="M207" s="22" t="n">
        <v>0</v>
      </c>
      <c r="N207" s="3"/>
      <c r="O207" s="3"/>
      <c r="P207" s="3"/>
    </row>
    <row r="208" customFormat="false" ht="15.75" hidden="false" customHeight="true" outlineLevel="0" collapsed="false">
      <c r="A208" s="8" t="n">
        <v>46176</v>
      </c>
      <c r="B208" s="7" t="s">
        <v>164</v>
      </c>
      <c r="C208" s="7" t="s">
        <v>87</v>
      </c>
      <c r="D208" s="7" t="s">
        <v>158</v>
      </c>
      <c r="E208" s="7" t="s">
        <v>159</v>
      </c>
      <c r="F208" s="7" t="s">
        <v>165</v>
      </c>
      <c r="G208" s="7" t="s">
        <v>39</v>
      </c>
      <c r="H208" s="7" t="n">
        <v>28</v>
      </c>
      <c r="I208" s="7" t="n">
        <v>34</v>
      </c>
      <c r="J208" s="7" t="n">
        <v>19</v>
      </c>
      <c r="K208" s="7" t="n">
        <v>87</v>
      </c>
      <c r="L208" s="7" t="n">
        <v>0</v>
      </c>
      <c r="M208" s="22" t="n">
        <v>0</v>
      </c>
      <c r="N208" s="3"/>
      <c r="O208" s="3"/>
      <c r="P208" s="3"/>
    </row>
    <row r="209" customFormat="false" ht="15.75" hidden="false" customHeight="true" outlineLevel="0" collapsed="false">
      <c r="A209" s="8" t="n">
        <v>46176</v>
      </c>
      <c r="B209" s="7" t="s">
        <v>166</v>
      </c>
      <c r="C209" s="7" t="s">
        <v>167</v>
      </c>
      <c r="D209" s="7" t="s">
        <v>158</v>
      </c>
      <c r="E209" s="7" t="s">
        <v>159</v>
      </c>
      <c r="F209" s="7" t="s">
        <v>160</v>
      </c>
      <c r="G209" s="7" t="s">
        <v>39</v>
      </c>
      <c r="H209" s="7" t="n">
        <v>12</v>
      </c>
      <c r="I209" s="7" t="n">
        <v>15</v>
      </c>
      <c r="J209" s="7" t="n">
        <v>8</v>
      </c>
      <c r="K209" s="7" t="n">
        <v>80</v>
      </c>
      <c r="L209" s="7" t="n">
        <v>0</v>
      </c>
      <c r="M209" s="22" t="n">
        <v>0</v>
      </c>
      <c r="N209" s="3"/>
      <c r="O209" s="3"/>
      <c r="P209" s="3"/>
    </row>
    <row r="210" customFormat="false" ht="15.75" hidden="false" customHeight="true" outlineLevel="0" collapsed="false">
      <c r="A210" s="8" t="n">
        <v>46177</v>
      </c>
      <c r="B210" s="7" t="s">
        <v>157</v>
      </c>
      <c r="C210" s="7" t="s">
        <v>92</v>
      </c>
      <c r="D210" s="7" t="s">
        <v>158</v>
      </c>
      <c r="E210" s="7" t="s">
        <v>159</v>
      </c>
      <c r="F210" s="7" t="s">
        <v>160</v>
      </c>
      <c r="G210" s="7" t="s">
        <v>39</v>
      </c>
      <c r="H210" s="7" t="n">
        <v>56</v>
      </c>
      <c r="I210" s="7" t="n">
        <v>68</v>
      </c>
      <c r="J210" s="7" t="n">
        <v>44</v>
      </c>
      <c r="K210" s="7" t="n">
        <v>98</v>
      </c>
      <c r="L210" s="7" t="n">
        <v>0</v>
      </c>
      <c r="M210" s="22" t="n">
        <v>0</v>
      </c>
      <c r="N210" s="3"/>
      <c r="O210" s="3"/>
      <c r="P210" s="3"/>
    </row>
    <row r="211" customFormat="false" ht="15.75" hidden="false" customHeight="true" outlineLevel="0" collapsed="false">
      <c r="A211" s="8" t="n">
        <v>46177</v>
      </c>
      <c r="B211" s="7" t="s">
        <v>161</v>
      </c>
      <c r="C211" s="7" t="s">
        <v>92</v>
      </c>
      <c r="D211" s="7" t="s">
        <v>158</v>
      </c>
      <c r="E211" s="7" t="s">
        <v>159</v>
      </c>
      <c r="F211" s="7" t="s">
        <v>160</v>
      </c>
      <c r="G211" s="7" t="s">
        <v>39</v>
      </c>
      <c r="H211" s="7" t="n">
        <v>55</v>
      </c>
      <c r="I211" s="7" t="n">
        <v>67</v>
      </c>
      <c r="J211" s="7" t="n">
        <v>44</v>
      </c>
      <c r="K211" s="7" t="n">
        <v>93</v>
      </c>
      <c r="L211" s="7" t="n">
        <v>0</v>
      </c>
      <c r="M211" s="22" t="n">
        <v>0</v>
      </c>
      <c r="N211" s="3"/>
      <c r="O211" s="3"/>
      <c r="P211" s="3"/>
    </row>
    <row r="212" customFormat="false" ht="15.75" hidden="false" customHeight="true" outlineLevel="0" collapsed="false">
      <c r="A212" s="8" t="n">
        <v>46177</v>
      </c>
      <c r="B212" s="7" t="s">
        <v>162</v>
      </c>
      <c r="C212" s="7" t="s">
        <v>97</v>
      </c>
      <c r="D212" s="7" t="s">
        <v>158</v>
      </c>
      <c r="E212" s="7" t="s">
        <v>159</v>
      </c>
      <c r="F212" s="7" t="s">
        <v>165</v>
      </c>
      <c r="G212" s="7" t="s">
        <v>39</v>
      </c>
      <c r="H212" s="7" t="n">
        <v>34</v>
      </c>
      <c r="I212" s="7" t="n">
        <v>42</v>
      </c>
      <c r="J212" s="7" t="n">
        <v>25</v>
      </c>
      <c r="K212" s="7" t="n">
        <v>101</v>
      </c>
      <c r="L212" s="7" t="n">
        <v>0</v>
      </c>
      <c r="M212" s="22" t="n">
        <v>0</v>
      </c>
      <c r="N212" s="3"/>
      <c r="O212" s="3"/>
      <c r="P212" s="3"/>
    </row>
    <row r="213" customFormat="false" ht="15.75" hidden="false" customHeight="true" outlineLevel="0" collapsed="false">
      <c r="A213" s="8" t="n">
        <v>46177</v>
      </c>
      <c r="B213" s="7" t="s">
        <v>163</v>
      </c>
      <c r="C213" s="7" t="s">
        <v>97</v>
      </c>
      <c r="D213" s="7" t="s">
        <v>158</v>
      </c>
      <c r="E213" s="7" t="s">
        <v>159</v>
      </c>
      <c r="F213" s="7" t="s">
        <v>160</v>
      </c>
      <c r="G213" s="7" t="s">
        <v>39</v>
      </c>
      <c r="H213" s="7" t="n">
        <v>38</v>
      </c>
      <c r="I213" s="7" t="n">
        <v>46</v>
      </c>
      <c r="J213" s="7" t="n">
        <v>27</v>
      </c>
      <c r="K213" s="7" t="n">
        <v>112</v>
      </c>
      <c r="L213" s="7" t="n">
        <v>0</v>
      </c>
      <c r="M213" s="22" t="n">
        <v>0</v>
      </c>
      <c r="N213" s="3"/>
      <c r="O213" s="3"/>
      <c r="P213" s="3"/>
    </row>
    <row r="214" customFormat="false" ht="15.75" hidden="false" customHeight="true" outlineLevel="0" collapsed="false">
      <c r="A214" s="8" t="n">
        <v>46177</v>
      </c>
      <c r="B214" s="7" t="s">
        <v>164</v>
      </c>
      <c r="C214" s="7" t="s">
        <v>87</v>
      </c>
      <c r="D214" s="7" t="s">
        <v>158</v>
      </c>
      <c r="E214" s="7" t="s">
        <v>159</v>
      </c>
      <c r="F214" s="7" t="s">
        <v>160</v>
      </c>
      <c r="G214" s="7" t="s">
        <v>39</v>
      </c>
      <c r="H214" s="7" t="n">
        <v>36</v>
      </c>
      <c r="I214" s="7" t="n">
        <v>44</v>
      </c>
      <c r="J214" s="7" t="n">
        <v>24</v>
      </c>
      <c r="K214" s="7" t="n">
        <v>67</v>
      </c>
      <c r="L214" s="7" t="n">
        <v>0</v>
      </c>
      <c r="M214" s="22" t="n">
        <v>0</v>
      </c>
      <c r="N214" s="3"/>
      <c r="O214" s="3"/>
      <c r="P214" s="3"/>
    </row>
    <row r="215" customFormat="false" ht="15.75" hidden="false" customHeight="true" outlineLevel="0" collapsed="false">
      <c r="A215" s="8" t="n">
        <v>46177</v>
      </c>
      <c r="B215" s="7" t="s">
        <v>166</v>
      </c>
      <c r="C215" s="7" t="s">
        <v>167</v>
      </c>
      <c r="D215" s="7" t="s">
        <v>158</v>
      </c>
      <c r="E215" s="7" t="s">
        <v>159</v>
      </c>
      <c r="F215" s="7" t="s">
        <v>160</v>
      </c>
      <c r="G215" s="7" t="s">
        <v>39</v>
      </c>
      <c r="H215" s="7" t="n">
        <v>16</v>
      </c>
      <c r="I215" s="7" t="n">
        <v>20</v>
      </c>
      <c r="J215" s="7" t="n">
        <v>11</v>
      </c>
      <c r="K215" s="7" t="n">
        <v>72</v>
      </c>
      <c r="L215" s="7" t="n">
        <v>0</v>
      </c>
      <c r="M215" s="22" t="n">
        <v>0</v>
      </c>
      <c r="N215" s="3"/>
      <c r="O215" s="3"/>
      <c r="P215" s="3"/>
    </row>
    <row r="216" customFormat="false" ht="15.75" hidden="false" customHeight="true" outlineLevel="0" collapsed="false">
      <c r="A216" s="8" t="n">
        <v>46178</v>
      </c>
      <c r="B216" s="7" t="s">
        <v>157</v>
      </c>
      <c r="C216" s="7" t="s">
        <v>92</v>
      </c>
      <c r="D216" s="7" t="s">
        <v>158</v>
      </c>
      <c r="E216" s="7" t="s">
        <v>159</v>
      </c>
      <c r="F216" s="7" t="s">
        <v>160</v>
      </c>
      <c r="G216" s="7" t="s">
        <v>39</v>
      </c>
      <c r="H216" s="7" t="n">
        <v>51</v>
      </c>
      <c r="I216" s="7" t="n">
        <v>62</v>
      </c>
      <c r="J216" s="7" t="n">
        <v>40</v>
      </c>
      <c r="K216" s="7" t="n">
        <v>96</v>
      </c>
      <c r="L216" s="7" t="n">
        <v>0</v>
      </c>
      <c r="M216" s="22" t="n">
        <v>0</v>
      </c>
      <c r="N216" s="3"/>
      <c r="O216" s="3"/>
      <c r="P216" s="3"/>
    </row>
    <row r="217" customFormat="false" ht="15.75" hidden="false" customHeight="true" outlineLevel="0" collapsed="false">
      <c r="A217" s="8" t="n">
        <v>46178</v>
      </c>
      <c r="B217" s="7" t="s">
        <v>161</v>
      </c>
      <c r="C217" s="7" t="s">
        <v>92</v>
      </c>
      <c r="D217" s="7" t="s">
        <v>158</v>
      </c>
      <c r="E217" s="7" t="s">
        <v>159</v>
      </c>
      <c r="F217" s="7" t="s">
        <v>160</v>
      </c>
      <c r="G217" s="7" t="s">
        <v>39</v>
      </c>
      <c r="H217" s="7" t="n">
        <v>49</v>
      </c>
      <c r="I217" s="7" t="n">
        <v>60</v>
      </c>
      <c r="J217" s="7" t="n">
        <v>39</v>
      </c>
      <c r="K217" s="7" t="n">
        <v>97</v>
      </c>
      <c r="L217" s="7" t="n">
        <v>0</v>
      </c>
      <c r="M217" s="22" t="n">
        <v>0</v>
      </c>
      <c r="N217" s="3"/>
      <c r="O217" s="3"/>
      <c r="P217" s="3"/>
    </row>
    <row r="218" customFormat="false" ht="15.75" hidden="false" customHeight="true" outlineLevel="0" collapsed="false">
      <c r="A218" s="8" t="n">
        <v>46178</v>
      </c>
      <c r="B218" s="7" t="s">
        <v>162</v>
      </c>
      <c r="C218" s="7" t="s">
        <v>97</v>
      </c>
      <c r="D218" s="7" t="s">
        <v>158</v>
      </c>
      <c r="E218" s="7" t="s">
        <v>159</v>
      </c>
      <c r="F218" s="7" t="s">
        <v>160</v>
      </c>
      <c r="G218" s="7" t="s">
        <v>39</v>
      </c>
      <c r="H218" s="7" t="n">
        <v>34</v>
      </c>
      <c r="I218" s="7" t="n">
        <v>42</v>
      </c>
      <c r="J218" s="7" t="n">
        <v>25</v>
      </c>
      <c r="K218" s="7" t="n">
        <v>111</v>
      </c>
      <c r="L218" s="7" t="n">
        <v>0</v>
      </c>
      <c r="M218" s="22" t="n">
        <v>0</v>
      </c>
      <c r="N218" s="3"/>
      <c r="O218" s="3"/>
      <c r="P218" s="3"/>
    </row>
    <row r="219" customFormat="false" ht="15.75" hidden="false" customHeight="true" outlineLevel="0" collapsed="false">
      <c r="A219" s="8" t="n">
        <v>46178</v>
      </c>
      <c r="B219" s="7" t="s">
        <v>163</v>
      </c>
      <c r="C219" s="7" t="s">
        <v>97</v>
      </c>
      <c r="D219" s="7" t="s">
        <v>158</v>
      </c>
      <c r="E219" s="7" t="s">
        <v>159</v>
      </c>
      <c r="F219" s="7" t="s">
        <v>165</v>
      </c>
      <c r="G219" s="7" t="s">
        <v>39</v>
      </c>
      <c r="H219" s="7" t="n">
        <v>44</v>
      </c>
      <c r="I219" s="7" t="n">
        <v>54</v>
      </c>
      <c r="J219" s="7" t="n">
        <v>32</v>
      </c>
      <c r="K219" s="7" t="n">
        <v>107</v>
      </c>
      <c r="L219" s="7" t="n">
        <v>0</v>
      </c>
      <c r="M219" s="22" t="n">
        <v>0</v>
      </c>
      <c r="N219" s="3"/>
      <c r="O219" s="3"/>
      <c r="P219" s="3"/>
    </row>
    <row r="220" customFormat="false" ht="15.75" hidden="false" customHeight="true" outlineLevel="0" collapsed="false">
      <c r="A220" s="8" t="n">
        <v>46178</v>
      </c>
      <c r="B220" s="7" t="s">
        <v>164</v>
      </c>
      <c r="C220" s="7" t="s">
        <v>87</v>
      </c>
      <c r="D220" s="7" t="s">
        <v>158</v>
      </c>
      <c r="E220" s="7" t="s">
        <v>159</v>
      </c>
      <c r="F220" s="7" t="s">
        <v>165</v>
      </c>
      <c r="G220" s="7" t="s">
        <v>39</v>
      </c>
      <c r="H220" s="7" t="n">
        <v>28</v>
      </c>
      <c r="I220" s="7" t="n">
        <v>34</v>
      </c>
      <c r="J220" s="7" t="n">
        <v>19</v>
      </c>
      <c r="K220" s="7" t="n">
        <v>72</v>
      </c>
      <c r="L220" s="7" t="n">
        <v>0</v>
      </c>
      <c r="M220" s="22" t="n">
        <v>0</v>
      </c>
      <c r="N220" s="3"/>
      <c r="O220" s="3"/>
      <c r="P220" s="3"/>
    </row>
    <row r="221" customFormat="false" ht="15.75" hidden="false" customHeight="true" outlineLevel="0" collapsed="false">
      <c r="A221" s="8" t="n">
        <v>46178</v>
      </c>
      <c r="B221" s="7" t="s">
        <v>166</v>
      </c>
      <c r="C221" s="7" t="s">
        <v>167</v>
      </c>
      <c r="D221" s="7" t="s">
        <v>158</v>
      </c>
      <c r="E221" s="7" t="s">
        <v>159</v>
      </c>
      <c r="F221" s="7" t="s">
        <v>160</v>
      </c>
      <c r="G221" s="7" t="s">
        <v>39</v>
      </c>
      <c r="H221" s="7" t="n">
        <v>9</v>
      </c>
      <c r="I221" s="7" t="n">
        <v>12</v>
      </c>
      <c r="J221" s="7" t="n">
        <v>6</v>
      </c>
      <c r="K221" s="7" t="n">
        <v>85</v>
      </c>
      <c r="L221" s="7" t="n">
        <v>0</v>
      </c>
      <c r="M221" s="22" t="n">
        <v>0</v>
      </c>
      <c r="N221" s="3"/>
      <c r="O221" s="3"/>
      <c r="P221" s="3"/>
    </row>
    <row r="222" customFormat="false" ht="15.75" hidden="false" customHeight="true" outlineLevel="0" collapsed="false">
      <c r="A222" s="8" t="n">
        <v>46179</v>
      </c>
      <c r="B222" s="7" t="s">
        <v>157</v>
      </c>
      <c r="C222" s="7" t="s">
        <v>92</v>
      </c>
      <c r="D222" s="7" t="s">
        <v>158</v>
      </c>
      <c r="E222" s="7" t="s">
        <v>159</v>
      </c>
      <c r="F222" s="7" t="s">
        <v>160</v>
      </c>
      <c r="G222" s="7" t="s">
        <v>39</v>
      </c>
      <c r="H222" s="7" t="n">
        <v>55</v>
      </c>
      <c r="I222" s="7" t="n">
        <v>67</v>
      </c>
      <c r="J222" s="7" t="n">
        <v>44</v>
      </c>
      <c r="K222" s="7" t="n">
        <v>92</v>
      </c>
      <c r="L222" s="7" t="n">
        <v>0</v>
      </c>
      <c r="M222" s="22" t="n">
        <v>0</v>
      </c>
      <c r="N222" s="3"/>
      <c r="O222" s="3"/>
      <c r="P222" s="3"/>
    </row>
    <row r="223" customFormat="false" ht="15.75" hidden="false" customHeight="true" outlineLevel="0" collapsed="false">
      <c r="A223" s="8" t="n">
        <v>46179</v>
      </c>
      <c r="B223" s="7" t="s">
        <v>161</v>
      </c>
      <c r="C223" s="7" t="s">
        <v>92</v>
      </c>
      <c r="D223" s="7" t="s">
        <v>158</v>
      </c>
      <c r="E223" s="7" t="s">
        <v>159</v>
      </c>
      <c r="F223" s="7" t="s">
        <v>160</v>
      </c>
      <c r="G223" s="7" t="s">
        <v>39</v>
      </c>
      <c r="H223" s="7" t="n">
        <v>55</v>
      </c>
      <c r="I223" s="7" t="n">
        <v>67</v>
      </c>
      <c r="J223" s="7" t="n">
        <v>44</v>
      </c>
      <c r="K223" s="7" t="n">
        <v>94</v>
      </c>
      <c r="L223" s="7" t="n">
        <v>0</v>
      </c>
      <c r="M223" s="22" t="n">
        <v>0</v>
      </c>
      <c r="N223" s="3"/>
      <c r="O223" s="3"/>
      <c r="P223" s="3"/>
    </row>
    <row r="224" customFormat="false" ht="15.75" hidden="false" customHeight="true" outlineLevel="0" collapsed="false">
      <c r="A224" s="8" t="n">
        <v>46179</v>
      </c>
      <c r="B224" s="7" t="s">
        <v>162</v>
      </c>
      <c r="C224" s="7" t="s">
        <v>97</v>
      </c>
      <c r="D224" s="7" t="s">
        <v>158</v>
      </c>
      <c r="E224" s="7" t="s">
        <v>159</v>
      </c>
      <c r="F224" s="7" t="s">
        <v>165</v>
      </c>
      <c r="G224" s="7" t="s">
        <v>39</v>
      </c>
      <c r="H224" s="7" t="n">
        <v>44</v>
      </c>
      <c r="I224" s="7" t="n">
        <v>54</v>
      </c>
      <c r="J224" s="7" t="n">
        <v>32</v>
      </c>
      <c r="K224" s="7" t="n">
        <v>116</v>
      </c>
      <c r="L224" s="7" t="n">
        <v>0</v>
      </c>
      <c r="M224" s="22" t="n">
        <v>0</v>
      </c>
      <c r="N224" s="3"/>
      <c r="O224" s="3"/>
      <c r="P224" s="3"/>
    </row>
    <row r="225" customFormat="false" ht="15.75" hidden="false" customHeight="true" outlineLevel="0" collapsed="false">
      <c r="A225" s="8" t="n">
        <v>46179</v>
      </c>
      <c r="B225" s="7" t="s">
        <v>163</v>
      </c>
      <c r="C225" s="7" t="s">
        <v>97</v>
      </c>
      <c r="D225" s="7" t="s">
        <v>158</v>
      </c>
      <c r="E225" s="7" t="s">
        <v>159</v>
      </c>
      <c r="F225" s="7" t="s">
        <v>165</v>
      </c>
      <c r="G225" s="7" t="s">
        <v>39</v>
      </c>
      <c r="H225" s="7" t="n">
        <v>39</v>
      </c>
      <c r="I225" s="7" t="n">
        <v>48</v>
      </c>
      <c r="J225" s="7" t="n">
        <v>28</v>
      </c>
      <c r="K225" s="7" t="n">
        <v>112</v>
      </c>
      <c r="L225" s="7" t="n">
        <v>0</v>
      </c>
      <c r="M225" s="22" t="n">
        <v>0</v>
      </c>
      <c r="N225" s="3"/>
      <c r="O225" s="3"/>
      <c r="P225" s="3"/>
    </row>
    <row r="226" customFormat="false" ht="15.75" hidden="false" customHeight="true" outlineLevel="0" collapsed="false">
      <c r="A226" s="8" t="n">
        <v>46179</v>
      </c>
      <c r="B226" s="7" t="s">
        <v>164</v>
      </c>
      <c r="C226" s="7" t="s">
        <v>87</v>
      </c>
      <c r="D226" s="7" t="s">
        <v>158</v>
      </c>
      <c r="E226" s="7" t="s">
        <v>159</v>
      </c>
      <c r="F226" s="7" t="s">
        <v>160</v>
      </c>
      <c r="G226" s="7" t="s">
        <v>39</v>
      </c>
      <c r="H226" s="7" t="n">
        <v>34</v>
      </c>
      <c r="I226" s="7" t="n">
        <v>41</v>
      </c>
      <c r="J226" s="7" t="n">
        <v>22</v>
      </c>
      <c r="K226" s="7" t="n">
        <v>77</v>
      </c>
      <c r="L226" s="7" t="n">
        <v>0</v>
      </c>
      <c r="M226" s="22" t="n">
        <v>0</v>
      </c>
      <c r="N226" s="3"/>
      <c r="O226" s="3"/>
      <c r="P226" s="3"/>
    </row>
    <row r="227" customFormat="false" ht="15.75" hidden="false" customHeight="true" outlineLevel="0" collapsed="false">
      <c r="A227" s="8" t="n">
        <v>46179</v>
      </c>
      <c r="B227" s="7" t="s">
        <v>166</v>
      </c>
      <c r="C227" s="7" t="s">
        <v>167</v>
      </c>
      <c r="D227" s="7" t="s">
        <v>158</v>
      </c>
      <c r="E227" s="7" t="s">
        <v>159</v>
      </c>
      <c r="F227" s="7" t="s">
        <v>160</v>
      </c>
      <c r="G227" s="7" t="s">
        <v>39</v>
      </c>
      <c r="H227" s="7" t="n">
        <v>21</v>
      </c>
      <c r="I227" s="7" t="n">
        <v>26</v>
      </c>
      <c r="J227" s="7" t="n">
        <v>14</v>
      </c>
      <c r="K227" s="7" t="n">
        <v>70</v>
      </c>
      <c r="L227" s="7" t="n">
        <v>0</v>
      </c>
      <c r="M227" s="22" t="n">
        <v>0</v>
      </c>
      <c r="N227" s="3"/>
      <c r="O227" s="3"/>
      <c r="P227" s="3"/>
    </row>
    <row r="228" customFormat="false" ht="15.75" hidden="false" customHeight="true" outlineLevel="0" collapsed="false">
      <c r="A228" s="8" t="n">
        <v>46180</v>
      </c>
      <c r="B228" s="7" t="s">
        <v>157</v>
      </c>
      <c r="C228" s="7" t="s">
        <v>92</v>
      </c>
      <c r="D228" s="7" t="s">
        <v>158</v>
      </c>
      <c r="E228" s="7" t="s">
        <v>159</v>
      </c>
      <c r="F228" s="7" t="s">
        <v>160</v>
      </c>
      <c r="G228" s="7" t="s">
        <v>39</v>
      </c>
      <c r="H228" s="7" t="n">
        <v>56</v>
      </c>
      <c r="I228" s="7" t="n">
        <v>68</v>
      </c>
      <c r="J228" s="7" t="n">
        <v>44</v>
      </c>
      <c r="K228" s="7" t="n">
        <v>83</v>
      </c>
      <c r="L228" s="7" t="n">
        <v>0</v>
      </c>
      <c r="M228" s="22" t="n">
        <v>0</v>
      </c>
      <c r="N228" s="3"/>
      <c r="O228" s="3"/>
      <c r="P228" s="3"/>
    </row>
    <row r="229" customFormat="false" ht="15.75" hidden="false" customHeight="true" outlineLevel="0" collapsed="false">
      <c r="A229" s="8" t="n">
        <v>46180</v>
      </c>
      <c r="B229" s="7" t="s">
        <v>161</v>
      </c>
      <c r="C229" s="7" t="s">
        <v>92</v>
      </c>
      <c r="D229" s="7" t="s">
        <v>158</v>
      </c>
      <c r="E229" s="7" t="s">
        <v>159</v>
      </c>
      <c r="F229" s="7" t="s">
        <v>160</v>
      </c>
      <c r="G229" s="7" t="s">
        <v>39</v>
      </c>
      <c r="H229" s="7" t="n">
        <v>62</v>
      </c>
      <c r="I229" s="7" t="n">
        <v>75</v>
      </c>
      <c r="J229" s="7" t="n">
        <v>49</v>
      </c>
      <c r="K229" s="7" t="n">
        <v>95</v>
      </c>
      <c r="L229" s="7" t="n">
        <v>0</v>
      </c>
      <c r="M229" s="22" t="n">
        <v>0</v>
      </c>
      <c r="N229" s="3"/>
      <c r="O229" s="3"/>
      <c r="P229" s="3"/>
    </row>
    <row r="230" customFormat="false" ht="15.75" hidden="false" customHeight="true" outlineLevel="0" collapsed="false">
      <c r="A230" s="8" t="n">
        <v>46180</v>
      </c>
      <c r="B230" s="7" t="s">
        <v>162</v>
      </c>
      <c r="C230" s="7" t="s">
        <v>97</v>
      </c>
      <c r="D230" s="7" t="s">
        <v>158</v>
      </c>
      <c r="E230" s="7" t="s">
        <v>159</v>
      </c>
      <c r="F230" s="7" t="s">
        <v>160</v>
      </c>
      <c r="G230" s="7" t="s">
        <v>39</v>
      </c>
      <c r="H230" s="7" t="n">
        <v>48</v>
      </c>
      <c r="I230" s="7" t="n">
        <v>58</v>
      </c>
      <c r="J230" s="7" t="n">
        <v>34</v>
      </c>
      <c r="K230" s="7" t="n">
        <v>109</v>
      </c>
      <c r="L230" s="7" t="n">
        <v>0</v>
      </c>
      <c r="M230" s="22" t="n">
        <v>0</v>
      </c>
      <c r="N230" s="3"/>
      <c r="O230" s="3"/>
      <c r="P230" s="3"/>
    </row>
    <row r="231" customFormat="false" ht="15.75" hidden="false" customHeight="true" outlineLevel="0" collapsed="false">
      <c r="A231" s="8" t="n">
        <v>46180</v>
      </c>
      <c r="B231" s="7" t="s">
        <v>163</v>
      </c>
      <c r="C231" s="7" t="s">
        <v>97</v>
      </c>
      <c r="D231" s="7" t="s">
        <v>158</v>
      </c>
      <c r="E231" s="7" t="s">
        <v>159</v>
      </c>
      <c r="F231" s="7" t="s">
        <v>160</v>
      </c>
      <c r="G231" s="7" t="s">
        <v>39</v>
      </c>
      <c r="H231" s="7" t="n">
        <v>36</v>
      </c>
      <c r="I231" s="7" t="n">
        <v>44</v>
      </c>
      <c r="J231" s="7" t="n">
        <v>26</v>
      </c>
      <c r="K231" s="7" t="n">
        <v>116</v>
      </c>
      <c r="L231" s="7" t="n">
        <v>0</v>
      </c>
      <c r="M231" s="22" t="n">
        <v>0</v>
      </c>
      <c r="N231" s="3"/>
      <c r="O231" s="3"/>
      <c r="P231" s="3"/>
    </row>
    <row r="232" customFormat="false" ht="15.75" hidden="false" customHeight="true" outlineLevel="0" collapsed="false">
      <c r="A232" s="8" t="n">
        <v>46180</v>
      </c>
      <c r="B232" s="7" t="s">
        <v>164</v>
      </c>
      <c r="C232" s="7" t="s">
        <v>87</v>
      </c>
      <c r="D232" s="7" t="s">
        <v>158</v>
      </c>
      <c r="E232" s="7" t="s">
        <v>159</v>
      </c>
      <c r="F232" s="7" t="s">
        <v>165</v>
      </c>
      <c r="G232" s="7" t="s">
        <v>39</v>
      </c>
      <c r="H232" s="7" t="n">
        <v>28</v>
      </c>
      <c r="I232" s="7" t="n">
        <v>34</v>
      </c>
      <c r="J232" s="7" t="n">
        <v>19</v>
      </c>
      <c r="K232" s="7" t="n">
        <v>87</v>
      </c>
      <c r="L232" s="7" t="n">
        <v>0</v>
      </c>
      <c r="M232" s="22" t="n">
        <v>0</v>
      </c>
      <c r="N232" s="3"/>
      <c r="O232" s="3"/>
      <c r="P232" s="3"/>
    </row>
    <row r="233" customFormat="false" ht="15.75" hidden="false" customHeight="true" outlineLevel="0" collapsed="false">
      <c r="A233" s="8" t="n">
        <v>46180</v>
      </c>
      <c r="B233" s="7" t="s">
        <v>166</v>
      </c>
      <c r="C233" s="7" t="s">
        <v>167</v>
      </c>
      <c r="D233" s="7" t="s">
        <v>158</v>
      </c>
      <c r="E233" s="7" t="s">
        <v>159</v>
      </c>
      <c r="F233" s="7" t="s">
        <v>160</v>
      </c>
      <c r="G233" s="7" t="s">
        <v>39</v>
      </c>
      <c r="H233" s="7" t="n">
        <v>15</v>
      </c>
      <c r="I233" s="7" t="n">
        <v>19</v>
      </c>
      <c r="J233" s="7" t="n">
        <v>10</v>
      </c>
      <c r="K233" s="7" t="n">
        <v>63</v>
      </c>
      <c r="L233" s="7" t="n">
        <v>0</v>
      </c>
      <c r="M233" s="22" t="n">
        <v>0</v>
      </c>
      <c r="N233" s="3"/>
      <c r="O233" s="3"/>
      <c r="P233" s="3"/>
    </row>
    <row r="234" customFormat="false" ht="15.75" hidden="false" customHeight="true" outlineLevel="0" collapsed="false">
      <c r="A234" s="8" t="n">
        <v>46181</v>
      </c>
      <c r="B234" s="7" t="s">
        <v>157</v>
      </c>
      <c r="C234" s="7" t="s">
        <v>92</v>
      </c>
      <c r="D234" s="7" t="s">
        <v>158</v>
      </c>
      <c r="E234" s="7" t="s">
        <v>159</v>
      </c>
      <c r="F234" s="7" t="s">
        <v>160</v>
      </c>
      <c r="G234" s="7" t="s">
        <v>39</v>
      </c>
      <c r="H234" s="7" t="n">
        <v>61</v>
      </c>
      <c r="I234" s="7" t="n">
        <v>74</v>
      </c>
      <c r="J234" s="7" t="n">
        <v>48</v>
      </c>
      <c r="K234" s="7" t="n">
        <v>88</v>
      </c>
      <c r="L234" s="7" t="n">
        <v>0</v>
      </c>
      <c r="M234" s="22" t="n">
        <v>0</v>
      </c>
      <c r="N234" s="3"/>
      <c r="O234" s="3"/>
      <c r="P234" s="3"/>
    </row>
    <row r="235" customFormat="false" ht="15.75" hidden="false" customHeight="true" outlineLevel="0" collapsed="false">
      <c r="A235" s="8" t="n">
        <v>46181</v>
      </c>
      <c r="B235" s="7" t="s">
        <v>161</v>
      </c>
      <c r="C235" s="7" t="s">
        <v>92</v>
      </c>
      <c r="D235" s="7" t="s">
        <v>158</v>
      </c>
      <c r="E235" s="7" t="s">
        <v>159</v>
      </c>
      <c r="F235" s="7" t="s">
        <v>165</v>
      </c>
      <c r="G235" s="7" t="s">
        <v>39</v>
      </c>
      <c r="H235" s="7" t="n">
        <v>47</v>
      </c>
      <c r="I235" s="7" t="n">
        <v>57</v>
      </c>
      <c r="J235" s="7" t="n">
        <v>37</v>
      </c>
      <c r="K235" s="7" t="n">
        <v>103</v>
      </c>
      <c r="L235" s="7" t="n">
        <v>0</v>
      </c>
      <c r="M235" s="22" t="n">
        <v>0</v>
      </c>
      <c r="N235" s="3"/>
      <c r="O235" s="3"/>
      <c r="P235" s="3"/>
    </row>
    <row r="236" customFormat="false" ht="15.75" hidden="false" customHeight="true" outlineLevel="0" collapsed="false">
      <c r="A236" s="8" t="n">
        <v>46181</v>
      </c>
      <c r="B236" s="7" t="s">
        <v>162</v>
      </c>
      <c r="C236" s="7" t="s">
        <v>97</v>
      </c>
      <c r="D236" s="7" t="s">
        <v>158</v>
      </c>
      <c r="E236" s="7" t="s">
        <v>159</v>
      </c>
      <c r="F236" s="7" t="s">
        <v>160</v>
      </c>
      <c r="G236" s="7" t="s">
        <v>39</v>
      </c>
      <c r="H236" s="7" t="n">
        <v>34</v>
      </c>
      <c r="I236" s="7" t="n">
        <v>42</v>
      </c>
      <c r="J236" s="7" t="n">
        <v>25</v>
      </c>
      <c r="K236" s="7" t="n">
        <v>116</v>
      </c>
      <c r="L236" s="7" t="n">
        <v>0</v>
      </c>
      <c r="M236" s="22" t="n">
        <v>0</v>
      </c>
      <c r="N236" s="3"/>
      <c r="O236" s="3"/>
      <c r="P236" s="3"/>
    </row>
    <row r="237" customFormat="false" ht="15.75" hidden="false" customHeight="true" outlineLevel="0" collapsed="false">
      <c r="A237" s="8" t="n">
        <v>46181</v>
      </c>
      <c r="B237" s="7" t="s">
        <v>163</v>
      </c>
      <c r="C237" s="7" t="s">
        <v>97</v>
      </c>
      <c r="D237" s="7" t="s">
        <v>158</v>
      </c>
      <c r="E237" s="7" t="s">
        <v>159</v>
      </c>
      <c r="F237" s="7" t="s">
        <v>160</v>
      </c>
      <c r="G237" s="7" t="s">
        <v>39</v>
      </c>
      <c r="H237" s="7" t="n">
        <v>47</v>
      </c>
      <c r="I237" s="7" t="n">
        <v>57</v>
      </c>
      <c r="J237" s="7" t="n">
        <v>34</v>
      </c>
      <c r="K237" s="7" t="n">
        <v>100</v>
      </c>
      <c r="L237" s="7" t="n">
        <v>0</v>
      </c>
      <c r="M237" s="22" t="n">
        <v>0</v>
      </c>
      <c r="N237" s="3"/>
      <c r="O237" s="3"/>
      <c r="P237" s="3"/>
    </row>
    <row r="238" customFormat="false" ht="15.75" hidden="false" customHeight="true" outlineLevel="0" collapsed="false">
      <c r="A238" s="8" t="n">
        <v>46181</v>
      </c>
      <c r="B238" s="7" t="s">
        <v>164</v>
      </c>
      <c r="C238" s="7" t="s">
        <v>87</v>
      </c>
      <c r="D238" s="7" t="s">
        <v>158</v>
      </c>
      <c r="E238" s="7" t="s">
        <v>159</v>
      </c>
      <c r="F238" s="7" t="s">
        <v>160</v>
      </c>
      <c r="G238" s="7" t="s">
        <v>39</v>
      </c>
      <c r="H238" s="7" t="n">
        <v>29</v>
      </c>
      <c r="I238" s="7" t="n">
        <v>35</v>
      </c>
      <c r="J238" s="7" t="n">
        <v>19</v>
      </c>
      <c r="K238" s="7" t="n">
        <v>73</v>
      </c>
      <c r="L238" s="7" t="n">
        <v>0</v>
      </c>
      <c r="M238" s="22" t="n">
        <v>0</v>
      </c>
      <c r="N238" s="3"/>
      <c r="O238" s="3"/>
      <c r="P238" s="3"/>
    </row>
    <row r="239" customFormat="false" ht="15.75" hidden="false" customHeight="true" outlineLevel="0" collapsed="false">
      <c r="A239" s="8" t="n">
        <v>46181</v>
      </c>
      <c r="B239" s="7" t="s">
        <v>166</v>
      </c>
      <c r="C239" s="7" t="s">
        <v>167</v>
      </c>
      <c r="D239" s="7" t="s">
        <v>158</v>
      </c>
      <c r="E239" s="7" t="s">
        <v>159</v>
      </c>
      <c r="F239" s="7" t="s">
        <v>165</v>
      </c>
      <c r="G239" s="7" t="s">
        <v>39</v>
      </c>
      <c r="H239" s="7" t="n">
        <v>11</v>
      </c>
      <c r="I239" s="7" t="n">
        <v>14</v>
      </c>
      <c r="J239" s="7" t="n">
        <v>7</v>
      </c>
      <c r="K239" s="7" t="n">
        <v>66</v>
      </c>
      <c r="L239" s="7" t="n">
        <v>0</v>
      </c>
      <c r="M239" s="22" t="n">
        <v>0</v>
      </c>
      <c r="N239" s="3"/>
      <c r="O239" s="3"/>
      <c r="P239" s="3"/>
    </row>
    <row r="240" customFormat="false" ht="15.75" hidden="false" customHeight="true" outlineLevel="0" collapsed="false">
      <c r="A240" s="8" t="n">
        <v>46182</v>
      </c>
      <c r="B240" s="7" t="s">
        <v>157</v>
      </c>
      <c r="C240" s="7" t="s">
        <v>92</v>
      </c>
      <c r="D240" s="7" t="s">
        <v>158</v>
      </c>
      <c r="E240" s="7" t="s">
        <v>159</v>
      </c>
      <c r="F240" s="7" t="s">
        <v>160</v>
      </c>
      <c r="G240" s="7" t="s">
        <v>39</v>
      </c>
      <c r="H240" s="7" t="n">
        <v>58</v>
      </c>
      <c r="I240" s="7" t="n">
        <v>70</v>
      </c>
      <c r="J240" s="7" t="n">
        <v>46</v>
      </c>
      <c r="K240" s="7" t="n">
        <v>90</v>
      </c>
      <c r="L240" s="7" t="n">
        <v>0</v>
      </c>
      <c r="M240" s="22" t="n">
        <v>0</v>
      </c>
      <c r="N240" s="3"/>
      <c r="O240" s="3"/>
      <c r="P240" s="3"/>
    </row>
    <row r="241" customFormat="false" ht="15.75" hidden="false" customHeight="true" outlineLevel="0" collapsed="false">
      <c r="A241" s="8" t="n">
        <v>46182</v>
      </c>
      <c r="B241" s="7" t="s">
        <v>161</v>
      </c>
      <c r="C241" s="7" t="s">
        <v>92</v>
      </c>
      <c r="D241" s="7" t="s">
        <v>158</v>
      </c>
      <c r="E241" s="7" t="s">
        <v>159</v>
      </c>
      <c r="F241" s="7" t="s">
        <v>160</v>
      </c>
      <c r="G241" s="7" t="s">
        <v>39</v>
      </c>
      <c r="H241" s="7" t="n">
        <v>60</v>
      </c>
      <c r="I241" s="7" t="n">
        <v>73</v>
      </c>
      <c r="J241" s="7" t="n">
        <v>48</v>
      </c>
      <c r="K241" s="7" t="n">
        <v>93</v>
      </c>
      <c r="L241" s="7" t="n">
        <v>0</v>
      </c>
      <c r="M241" s="22" t="n">
        <v>0</v>
      </c>
      <c r="N241" s="3"/>
      <c r="O241" s="3"/>
      <c r="P241" s="3"/>
    </row>
    <row r="242" customFormat="false" ht="15.75" hidden="false" customHeight="true" outlineLevel="0" collapsed="false">
      <c r="A242" s="8" t="n">
        <v>46182</v>
      </c>
      <c r="B242" s="7" t="s">
        <v>162</v>
      </c>
      <c r="C242" s="7" t="s">
        <v>97</v>
      </c>
      <c r="D242" s="7" t="s">
        <v>158</v>
      </c>
      <c r="E242" s="7" t="s">
        <v>159</v>
      </c>
      <c r="F242" s="7" t="s">
        <v>165</v>
      </c>
      <c r="G242" s="7" t="s">
        <v>39</v>
      </c>
      <c r="H242" s="7" t="n">
        <v>42</v>
      </c>
      <c r="I242" s="7" t="n">
        <v>51</v>
      </c>
      <c r="J242" s="7" t="n">
        <v>30</v>
      </c>
      <c r="K242" s="7" t="n">
        <v>108</v>
      </c>
      <c r="L242" s="7" t="n">
        <v>0</v>
      </c>
      <c r="M242" s="22" t="n">
        <v>0</v>
      </c>
      <c r="N242" s="3"/>
      <c r="O242" s="3"/>
      <c r="P242" s="3"/>
    </row>
    <row r="243" customFormat="false" ht="15.75" hidden="false" customHeight="true" outlineLevel="0" collapsed="false">
      <c r="A243" s="8" t="n">
        <v>46182</v>
      </c>
      <c r="B243" s="7" t="s">
        <v>163</v>
      </c>
      <c r="C243" s="7" t="s">
        <v>97</v>
      </c>
      <c r="D243" s="7" t="s">
        <v>158</v>
      </c>
      <c r="E243" s="7" t="s">
        <v>159</v>
      </c>
      <c r="F243" s="7" t="s">
        <v>160</v>
      </c>
      <c r="G243" s="7" t="s">
        <v>39</v>
      </c>
      <c r="H243" s="7" t="n">
        <v>36</v>
      </c>
      <c r="I243" s="7" t="n">
        <v>44</v>
      </c>
      <c r="J243" s="7" t="n">
        <v>26</v>
      </c>
      <c r="K243" s="7" t="n">
        <v>113</v>
      </c>
      <c r="L243" s="7" t="n">
        <v>0</v>
      </c>
      <c r="M243" s="22" t="n">
        <v>0</v>
      </c>
      <c r="N243" s="3"/>
      <c r="O243" s="3"/>
      <c r="P243" s="3"/>
    </row>
    <row r="244" customFormat="false" ht="15.75" hidden="false" customHeight="true" outlineLevel="0" collapsed="false">
      <c r="A244" s="8" t="n">
        <v>46182</v>
      </c>
      <c r="B244" s="7" t="s">
        <v>164</v>
      </c>
      <c r="C244" s="7" t="s">
        <v>87</v>
      </c>
      <c r="D244" s="7" t="s">
        <v>158</v>
      </c>
      <c r="E244" s="7" t="s">
        <v>159</v>
      </c>
      <c r="F244" s="7" t="s">
        <v>165</v>
      </c>
      <c r="G244" s="7" t="s">
        <v>39</v>
      </c>
      <c r="H244" s="7" t="n">
        <v>28</v>
      </c>
      <c r="I244" s="7" t="n">
        <v>34</v>
      </c>
      <c r="J244" s="7" t="n">
        <v>19</v>
      </c>
      <c r="K244" s="7" t="n">
        <v>85</v>
      </c>
      <c r="L244" s="7" t="n">
        <v>0</v>
      </c>
      <c r="M244" s="22" t="n">
        <v>0</v>
      </c>
      <c r="N244" s="3"/>
      <c r="O244" s="3"/>
      <c r="P244" s="3"/>
    </row>
    <row r="245" customFormat="false" ht="15.75" hidden="false" customHeight="true" outlineLevel="0" collapsed="false">
      <c r="A245" s="8" t="n">
        <v>46182</v>
      </c>
      <c r="B245" s="7" t="s">
        <v>166</v>
      </c>
      <c r="C245" s="7" t="s">
        <v>167</v>
      </c>
      <c r="D245" s="7" t="s">
        <v>158</v>
      </c>
      <c r="E245" s="7" t="s">
        <v>159</v>
      </c>
      <c r="F245" s="7" t="s">
        <v>165</v>
      </c>
      <c r="G245" s="7" t="s">
        <v>39</v>
      </c>
      <c r="H245" s="7" t="n">
        <v>19</v>
      </c>
      <c r="I245" s="7" t="n">
        <v>23</v>
      </c>
      <c r="J245" s="7" t="n">
        <v>12</v>
      </c>
      <c r="K245" s="7" t="n">
        <v>87</v>
      </c>
      <c r="L245" s="7" t="n">
        <v>0</v>
      </c>
      <c r="M245" s="22" t="n">
        <v>0</v>
      </c>
      <c r="N245" s="3"/>
      <c r="O245" s="3"/>
      <c r="P245" s="3"/>
    </row>
    <row r="246" customFormat="false" ht="15.75" hidden="false" customHeight="true" outlineLevel="0" collapsed="false">
      <c r="A246" s="8" t="n">
        <v>46183</v>
      </c>
      <c r="B246" s="7" t="s">
        <v>157</v>
      </c>
      <c r="C246" s="7" t="s">
        <v>92</v>
      </c>
      <c r="D246" s="7" t="s">
        <v>158</v>
      </c>
      <c r="E246" s="7" t="s">
        <v>159</v>
      </c>
      <c r="F246" s="7" t="s">
        <v>160</v>
      </c>
      <c r="G246" s="7" t="s">
        <v>39</v>
      </c>
      <c r="H246" s="7" t="n">
        <v>56</v>
      </c>
      <c r="I246" s="7" t="n">
        <v>68</v>
      </c>
      <c r="J246" s="7" t="n">
        <v>44</v>
      </c>
      <c r="K246" s="7" t="n">
        <v>83</v>
      </c>
      <c r="L246" s="7" t="n">
        <v>0</v>
      </c>
      <c r="M246" s="22" t="n">
        <v>0</v>
      </c>
      <c r="N246" s="3"/>
      <c r="O246" s="3"/>
      <c r="P246" s="3"/>
    </row>
    <row r="247" customFormat="false" ht="15.75" hidden="false" customHeight="true" outlineLevel="0" collapsed="false">
      <c r="A247" s="8" t="n">
        <v>46183</v>
      </c>
      <c r="B247" s="7" t="s">
        <v>161</v>
      </c>
      <c r="C247" s="7" t="s">
        <v>92</v>
      </c>
      <c r="D247" s="7" t="s">
        <v>158</v>
      </c>
      <c r="E247" s="7" t="s">
        <v>159</v>
      </c>
      <c r="F247" s="7" t="s">
        <v>160</v>
      </c>
      <c r="G247" s="7" t="s">
        <v>39</v>
      </c>
      <c r="H247" s="7" t="n">
        <v>48</v>
      </c>
      <c r="I247" s="7" t="n">
        <v>59</v>
      </c>
      <c r="J247" s="7" t="n">
        <v>38</v>
      </c>
      <c r="K247" s="7" t="n">
        <v>97</v>
      </c>
      <c r="L247" s="7" t="n">
        <v>0</v>
      </c>
      <c r="M247" s="22" t="n">
        <v>0</v>
      </c>
      <c r="N247" s="3"/>
      <c r="O247" s="3"/>
      <c r="P247" s="3"/>
    </row>
    <row r="248" customFormat="false" ht="15.75" hidden="false" customHeight="true" outlineLevel="0" collapsed="false">
      <c r="A248" s="8" t="n">
        <v>46183</v>
      </c>
      <c r="B248" s="7" t="s">
        <v>162</v>
      </c>
      <c r="C248" s="7" t="s">
        <v>97</v>
      </c>
      <c r="D248" s="7" t="s">
        <v>158</v>
      </c>
      <c r="E248" s="7" t="s">
        <v>159</v>
      </c>
      <c r="F248" s="7" t="s">
        <v>160</v>
      </c>
      <c r="G248" s="7" t="s">
        <v>39</v>
      </c>
      <c r="H248" s="7" t="n">
        <v>46</v>
      </c>
      <c r="I248" s="7" t="n">
        <v>56</v>
      </c>
      <c r="J248" s="7" t="n">
        <v>33</v>
      </c>
      <c r="K248" s="7" t="n">
        <v>109</v>
      </c>
      <c r="L248" s="7" t="n">
        <v>0</v>
      </c>
      <c r="M248" s="22" t="n">
        <v>0</v>
      </c>
      <c r="N248" s="3"/>
      <c r="O248" s="3"/>
      <c r="P248" s="3"/>
    </row>
    <row r="249" customFormat="false" ht="15.75" hidden="false" customHeight="true" outlineLevel="0" collapsed="false">
      <c r="A249" s="8" t="n">
        <v>46183</v>
      </c>
      <c r="B249" s="7" t="s">
        <v>163</v>
      </c>
      <c r="C249" s="7" t="s">
        <v>97</v>
      </c>
      <c r="D249" s="7" t="s">
        <v>158</v>
      </c>
      <c r="E249" s="7" t="s">
        <v>159</v>
      </c>
      <c r="F249" s="7" t="s">
        <v>165</v>
      </c>
      <c r="G249" s="7" t="s">
        <v>39</v>
      </c>
      <c r="H249" s="7" t="n">
        <v>35</v>
      </c>
      <c r="I249" s="7" t="n">
        <v>43</v>
      </c>
      <c r="J249" s="7" t="n">
        <v>25</v>
      </c>
      <c r="K249" s="7" t="n">
        <v>111</v>
      </c>
      <c r="L249" s="7" t="n">
        <v>0</v>
      </c>
      <c r="M249" s="22" t="n">
        <v>0</v>
      </c>
      <c r="N249" s="3"/>
      <c r="O249" s="3"/>
      <c r="P249" s="3"/>
    </row>
    <row r="250" customFormat="false" ht="15.75" hidden="false" customHeight="true" outlineLevel="0" collapsed="false">
      <c r="A250" s="8" t="n">
        <v>46183</v>
      </c>
      <c r="B250" s="7" t="s">
        <v>164</v>
      </c>
      <c r="C250" s="7" t="s">
        <v>87</v>
      </c>
      <c r="D250" s="7" t="s">
        <v>158</v>
      </c>
      <c r="E250" s="7" t="s">
        <v>159</v>
      </c>
      <c r="F250" s="7" t="s">
        <v>165</v>
      </c>
      <c r="G250" s="7" t="s">
        <v>39</v>
      </c>
      <c r="H250" s="7" t="n">
        <v>32</v>
      </c>
      <c r="I250" s="7" t="n">
        <v>39</v>
      </c>
      <c r="J250" s="7" t="n">
        <v>21</v>
      </c>
      <c r="K250" s="7" t="n">
        <v>86</v>
      </c>
      <c r="L250" s="7" t="n">
        <v>0</v>
      </c>
      <c r="M250" s="22" t="n">
        <v>0</v>
      </c>
      <c r="N250" s="3"/>
      <c r="O250" s="3"/>
      <c r="P250" s="3"/>
    </row>
    <row r="251" customFormat="false" ht="15.75" hidden="false" customHeight="true" outlineLevel="0" collapsed="false">
      <c r="A251" s="8" t="n">
        <v>46183</v>
      </c>
      <c r="B251" s="7" t="s">
        <v>166</v>
      </c>
      <c r="C251" s="7" t="s">
        <v>167</v>
      </c>
      <c r="D251" s="7" t="s">
        <v>158</v>
      </c>
      <c r="E251" s="7" t="s">
        <v>159</v>
      </c>
      <c r="F251" s="7" t="s">
        <v>160</v>
      </c>
      <c r="G251" s="7" t="s">
        <v>39</v>
      </c>
      <c r="H251" s="7" t="n">
        <v>18</v>
      </c>
      <c r="I251" s="7" t="n">
        <v>22</v>
      </c>
      <c r="J251" s="7" t="n">
        <v>12</v>
      </c>
      <c r="K251" s="7" t="n">
        <v>84</v>
      </c>
      <c r="L251" s="7" t="n">
        <v>0</v>
      </c>
      <c r="M251" s="22" t="n">
        <v>0</v>
      </c>
      <c r="N251" s="3"/>
      <c r="O251" s="3"/>
      <c r="P251" s="3"/>
    </row>
    <row r="252" customFormat="false" ht="15.75" hidden="false" customHeight="true" outlineLevel="0" collapsed="false">
      <c r="A252" s="8" t="n">
        <v>46184</v>
      </c>
      <c r="B252" s="7" t="s">
        <v>157</v>
      </c>
      <c r="C252" s="7" t="s">
        <v>92</v>
      </c>
      <c r="D252" s="7" t="s">
        <v>158</v>
      </c>
      <c r="E252" s="7" t="s">
        <v>159</v>
      </c>
      <c r="F252" s="7" t="s">
        <v>160</v>
      </c>
      <c r="G252" s="7" t="s">
        <v>39</v>
      </c>
      <c r="H252" s="7" t="n">
        <v>57</v>
      </c>
      <c r="I252" s="7" t="n">
        <v>69</v>
      </c>
      <c r="J252" s="7" t="n">
        <v>45</v>
      </c>
      <c r="K252" s="7" t="n">
        <v>96</v>
      </c>
      <c r="L252" s="7" t="n">
        <v>0</v>
      </c>
      <c r="M252" s="22" t="n">
        <v>0</v>
      </c>
      <c r="N252" s="3"/>
      <c r="O252" s="3"/>
      <c r="P252" s="3"/>
    </row>
    <row r="253" customFormat="false" ht="15.75" hidden="false" customHeight="true" outlineLevel="0" collapsed="false">
      <c r="A253" s="8" t="n">
        <v>46184</v>
      </c>
      <c r="B253" s="7" t="s">
        <v>161</v>
      </c>
      <c r="C253" s="7" t="s">
        <v>92</v>
      </c>
      <c r="D253" s="7" t="s">
        <v>158</v>
      </c>
      <c r="E253" s="7" t="s">
        <v>159</v>
      </c>
      <c r="F253" s="7" t="s">
        <v>160</v>
      </c>
      <c r="G253" s="7" t="s">
        <v>39</v>
      </c>
      <c r="H253" s="7" t="n">
        <v>48</v>
      </c>
      <c r="I253" s="7" t="n">
        <v>58</v>
      </c>
      <c r="J253" s="7" t="n">
        <v>38</v>
      </c>
      <c r="K253" s="7" t="n">
        <v>98</v>
      </c>
      <c r="L253" s="7" t="n">
        <v>0</v>
      </c>
      <c r="M253" s="22" t="n">
        <v>0</v>
      </c>
      <c r="N253" s="3"/>
      <c r="O253" s="3"/>
      <c r="P253" s="3"/>
    </row>
    <row r="254" customFormat="false" ht="15.75" hidden="false" customHeight="true" outlineLevel="0" collapsed="false">
      <c r="A254" s="8" t="n">
        <v>46184</v>
      </c>
      <c r="B254" s="7" t="s">
        <v>162</v>
      </c>
      <c r="C254" s="7" t="s">
        <v>97</v>
      </c>
      <c r="D254" s="7" t="s">
        <v>158</v>
      </c>
      <c r="E254" s="7" t="s">
        <v>159</v>
      </c>
      <c r="F254" s="7" t="s">
        <v>165</v>
      </c>
      <c r="G254" s="7" t="s">
        <v>39</v>
      </c>
      <c r="H254" s="7" t="n">
        <v>40</v>
      </c>
      <c r="I254" s="7" t="n">
        <v>49</v>
      </c>
      <c r="J254" s="7" t="n">
        <v>29</v>
      </c>
      <c r="K254" s="7" t="n">
        <v>118</v>
      </c>
      <c r="L254" s="7" t="n">
        <v>0</v>
      </c>
      <c r="M254" s="22" t="n">
        <v>0</v>
      </c>
      <c r="N254" s="3"/>
      <c r="O254" s="3"/>
      <c r="P254" s="3"/>
    </row>
    <row r="255" customFormat="false" ht="15.75" hidden="false" customHeight="true" outlineLevel="0" collapsed="false">
      <c r="A255" s="8" t="n">
        <v>46184</v>
      </c>
      <c r="B255" s="7" t="s">
        <v>163</v>
      </c>
      <c r="C255" s="7" t="s">
        <v>97</v>
      </c>
      <c r="D255" s="7" t="s">
        <v>158</v>
      </c>
      <c r="E255" s="7" t="s">
        <v>159</v>
      </c>
      <c r="F255" s="7" t="s">
        <v>160</v>
      </c>
      <c r="G255" s="7" t="s">
        <v>39</v>
      </c>
      <c r="H255" s="7" t="n">
        <v>37</v>
      </c>
      <c r="I255" s="7" t="n">
        <v>45</v>
      </c>
      <c r="J255" s="7" t="n">
        <v>27</v>
      </c>
      <c r="K255" s="7" t="n">
        <v>99</v>
      </c>
      <c r="L255" s="7" t="n">
        <v>0</v>
      </c>
      <c r="M255" s="22" t="n">
        <v>0</v>
      </c>
      <c r="N255" s="3"/>
      <c r="O255" s="3"/>
      <c r="P255" s="3"/>
    </row>
    <row r="256" customFormat="false" ht="15.75" hidden="false" customHeight="true" outlineLevel="0" collapsed="false">
      <c r="A256" s="8" t="n">
        <v>46184</v>
      </c>
      <c r="B256" s="7" t="s">
        <v>164</v>
      </c>
      <c r="C256" s="7" t="s">
        <v>87</v>
      </c>
      <c r="D256" s="7" t="s">
        <v>158</v>
      </c>
      <c r="E256" s="7" t="s">
        <v>159</v>
      </c>
      <c r="F256" s="7" t="s">
        <v>160</v>
      </c>
      <c r="G256" s="7" t="s">
        <v>39</v>
      </c>
      <c r="H256" s="7" t="n">
        <v>41</v>
      </c>
      <c r="I256" s="7" t="n">
        <v>50</v>
      </c>
      <c r="J256" s="7" t="n">
        <v>28</v>
      </c>
      <c r="K256" s="7" t="n">
        <v>78</v>
      </c>
      <c r="L256" s="7" t="n">
        <v>0</v>
      </c>
      <c r="M256" s="22" t="n">
        <v>0</v>
      </c>
      <c r="N256" s="3"/>
      <c r="O256" s="3"/>
      <c r="P256" s="3"/>
    </row>
    <row r="257" customFormat="false" ht="15.75" hidden="false" customHeight="true" outlineLevel="0" collapsed="false">
      <c r="A257" s="8" t="n">
        <v>46184</v>
      </c>
      <c r="B257" s="7" t="s">
        <v>166</v>
      </c>
      <c r="C257" s="7" t="s">
        <v>167</v>
      </c>
      <c r="D257" s="7" t="s">
        <v>158</v>
      </c>
      <c r="E257" s="7" t="s">
        <v>159</v>
      </c>
      <c r="F257" s="7" t="s">
        <v>160</v>
      </c>
      <c r="G257" s="7" t="s">
        <v>39</v>
      </c>
      <c r="H257" s="7" t="n">
        <v>10</v>
      </c>
      <c r="I257" s="7" t="n">
        <v>13</v>
      </c>
      <c r="J257" s="7" t="n">
        <v>7</v>
      </c>
      <c r="K257" s="7" t="n">
        <v>69</v>
      </c>
      <c r="L257" s="7" t="n">
        <v>0</v>
      </c>
      <c r="M257" s="22" t="n">
        <v>0</v>
      </c>
      <c r="N257" s="3"/>
      <c r="O257" s="3"/>
      <c r="P257" s="3"/>
    </row>
    <row r="258" customFormat="false" ht="15.75" hidden="false" customHeight="true" outlineLevel="0" collapsed="false">
      <c r="A258" s="8" t="n">
        <v>46185</v>
      </c>
      <c r="B258" s="7" t="s">
        <v>157</v>
      </c>
      <c r="C258" s="7" t="s">
        <v>92</v>
      </c>
      <c r="D258" s="7" t="s">
        <v>158</v>
      </c>
      <c r="E258" s="7" t="s">
        <v>159</v>
      </c>
      <c r="F258" s="7" t="s">
        <v>160</v>
      </c>
      <c r="G258" s="7" t="s">
        <v>39</v>
      </c>
      <c r="H258" s="7" t="n">
        <v>62</v>
      </c>
      <c r="I258" s="7" t="n">
        <v>75</v>
      </c>
      <c r="J258" s="7" t="n">
        <v>49</v>
      </c>
      <c r="K258" s="7" t="n">
        <v>90</v>
      </c>
      <c r="L258" s="7" t="n">
        <v>0</v>
      </c>
      <c r="M258" s="22" t="n">
        <v>0</v>
      </c>
      <c r="N258" s="3"/>
      <c r="O258" s="3"/>
      <c r="P258" s="3"/>
    </row>
    <row r="259" customFormat="false" ht="15.75" hidden="false" customHeight="true" outlineLevel="0" collapsed="false">
      <c r="A259" s="8" t="n">
        <v>46185</v>
      </c>
      <c r="B259" s="7" t="s">
        <v>161</v>
      </c>
      <c r="C259" s="7" t="s">
        <v>92</v>
      </c>
      <c r="D259" s="7" t="s">
        <v>158</v>
      </c>
      <c r="E259" s="7" t="s">
        <v>159</v>
      </c>
      <c r="F259" s="7" t="s">
        <v>160</v>
      </c>
      <c r="G259" s="7" t="s">
        <v>39</v>
      </c>
      <c r="H259" s="7" t="n">
        <v>60</v>
      </c>
      <c r="I259" s="7" t="n">
        <v>73</v>
      </c>
      <c r="J259" s="7" t="n">
        <v>48</v>
      </c>
      <c r="K259" s="7" t="n">
        <v>90</v>
      </c>
      <c r="L259" s="7" t="n">
        <v>0</v>
      </c>
      <c r="M259" s="22" t="n">
        <v>0</v>
      </c>
      <c r="N259" s="3"/>
      <c r="O259" s="3"/>
      <c r="P259" s="3"/>
    </row>
    <row r="260" customFormat="false" ht="15.75" hidden="false" customHeight="true" outlineLevel="0" collapsed="false">
      <c r="A260" s="8" t="n">
        <v>46185</v>
      </c>
      <c r="B260" s="7" t="s">
        <v>162</v>
      </c>
      <c r="C260" s="7" t="s">
        <v>97</v>
      </c>
      <c r="D260" s="7" t="s">
        <v>158</v>
      </c>
      <c r="E260" s="7" t="s">
        <v>159</v>
      </c>
      <c r="F260" s="7" t="s">
        <v>165</v>
      </c>
      <c r="G260" s="7" t="s">
        <v>39</v>
      </c>
      <c r="H260" s="7" t="n">
        <v>39</v>
      </c>
      <c r="I260" s="7" t="n">
        <v>48</v>
      </c>
      <c r="J260" s="7" t="n">
        <v>28</v>
      </c>
      <c r="K260" s="7" t="n">
        <v>110</v>
      </c>
      <c r="L260" s="7" t="n">
        <v>0</v>
      </c>
      <c r="M260" s="22" t="n">
        <v>0</v>
      </c>
      <c r="N260" s="3"/>
      <c r="O260" s="3"/>
      <c r="P260" s="3"/>
    </row>
    <row r="261" customFormat="false" ht="15.75" hidden="false" customHeight="true" outlineLevel="0" collapsed="false">
      <c r="A261" s="8" t="n">
        <v>46185</v>
      </c>
      <c r="B261" s="7" t="s">
        <v>163</v>
      </c>
      <c r="C261" s="7" t="s">
        <v>97</v>
      </c>
      <c r="D261" s="7" t="s">
        <v>158</v>
      </c>
      <c r="E261" s="7" t="s">
        <v>159</v>
      </c>
      <c r="F261" s="7" t="s">
        <v>165</v>
      </c>
      <c r="G261" s="7" t="s">
        <v>39</v>
      </c>
      <c r="H261" s="7" t="n">
        <v>40</v>
      </c>
      <c r="I261" s="7" t="n">
        <v>49</v>
      </c>
      <c r="J261" s="7" t="n">
        <v>29</v>
      </c>
      <c r="K261" s="7" t="n">
        <v>118</v>
      </c>
      <c r="L261" s="7" t="n">
        <v>0</v>
      </c>
      <c r="M261" s="22" t="n">
        <v>0</v>
      </c>
      <c r="N261" s="3"/>
      <c r="O261" s="3"/>
      <c r="P261" s="3"/>
    </row>
    <row r="262" customFormat="false" ht="15.75" hidden="false" customHeight="true" outlineLevel="0" collapsed="false">
      <c r="A262" s="8" t="n">
        <v>46185</v>
      </c>
      <c r="B262" s="7" t="s">
        <v>164</v>
      </c>
      <c r="C262" s="7" t="s">
        <v>87</v>
      </c>
      <c r="D262" s="7" t="s">
        <v>158</v>
      </c>
      <c r="E262" s="7" t="s">
        <v>159</v>
      </c>
      <c r="F262" s="7" t="s">
        <v>160</v>
      </c>
      <c r="G262" s="7" t="s">
        <v>39</v>
      </c>
      <c r="H262" s="7" t="n">
        <v>40</v>
      </c>
      <c r="I262" s="7" t="n">
        <v>49</v>
      </c>
      <c r="J262" s="7" t="n">
        <v>27</v>
      </c>
      <c r="K262" s="7" t="n">
        <v>78</v>
      </c>
      <c r="L262" s="7" t="n">
        <v>0</v>
      </c>
      <c r="M262" s="22" t="n">
        <v>0</v>
      </c>
      <c r="N262" s="3"/>
      <c r="O262" s="3"/>
      <c r="P262" s="3"/>
    </row>
    <row r="263" customFormat="false" ht="15.75" hidden="false" customHeight="true" outlineLevel="0" collapsed="false">
      <c r="A263" s="8" t="n">
        <v>46185</v>
      </c>
      <c r="B263" s="7" t="s">
        <v>166</v>
      </c>
      <c r="C263" s="7" t="s">
        <v>167</v>
      </c>
      <c r="D263" s="7" t="s">
        <v>158</v>
      </c>
      <c r="E263" s="7" t="s">
        <v>159</v>
      </c>
      <c r="F263" s="7" t="s">
        <v>160</v>
      </c>
      <c r="G263" s="7" t="s">
        <v>39</v>
      </c>
      <c r="H263" s="7" t="n">
        <v>18</v>
      </c>
      <c r="I263" s="7" t="n">
        <v>22</v>
      </c>
      <c r="J263" s="7" t="n">
        <v>12</v>
      </c>
      <c r="K263" s="7" t="n">
        <v>73</v>
      </c>
      <c r="L263" s="7" t="n">
        <v>0</v>
      </c>
      <c r="M263" s="22" t="n">
        <v>0</v>
      </c>
      <c r="N263" s="3"/>
      <c r="O263" s="3"/>
      <c r="P263" s="3"/>
    </row>
    <row r="264" customFormat="false" ht="15.75" hidden="false" customHeight="true" outlineLevel="0" collapsed="false">
      <c r="A264" s="8" t="n">
        <v>46186</v>
      </c>
      <c r="B264" s="7" t="s">
        <v>157</v>
      </c>
      <c r="C264" s="7" t="s">
        <v>92</v>
      </c>
      <c r="D264" s="7" t="s">
        <v>158</v>
      </c>
      <c r="E264" s="7" t="s">
        <v>159</v>
      </c>
      <c r="F264" s="7" t="s">
        <v>160</v>
      </c>
      <c r="G264" s="7" t="s">
        <v>39</v>
      </c>
      <c r="H264" s="7" t="n">
        <v>48</v>
      </c>
      <c r="I264" s="7" t="n">
        <v>59</v>
      </c>
      <c r="J264" s="7" t="n">
        <v>38</v>
      </c>
      <c r="K264" s="7" t="n">
        <v>98</v>
      </c>
      <c r="L264" s="7" t="n">
        <v>0</v>
      </c>
      <c r="M264" s="22" t="n">
        <v>0</v>
      </c>
      <c r="N264" s="3"/>
      <c r="O264" s="3"/>
      <c r="P264" s="3"/>
    </row>
    <row r="265" customFormat="false" ht="15.75" hidden="false" customHeight="true" outlineLevel="0" collapsed="false">
      <c r="A265" s="8" t="n">
        <v>46186</v>
      </c>
      <c r="B265" s="7" t="s">
        <v>161</v>
      </c>
      <c r="C265" s="7" t="s">
        <v>92</v>
      </c>
      <c r="D265" s="7" t="s">
        <v>158</v>
      </c>
      <c r="E265" s="7" t="s">
        <v>159</v>
      </c>
      <c r="F265" s="7" t="s">
        <v>165</v>
      </c>
      <c r="G265" s="7" t="s">
        <v>39</v>
      </c>
      <c r="H265" s="7" t="n">
        <v>52</v>
      </c>
      <c r="I265" s="7" t="n">
        <v>63</v>
      </c>
      <c r="J265" s="7" t="n">
        <v>41</v>
      </c>
      <c r="K265" s="7" t="n">
        <v>87</v>
      </c>
      <c r="L265" s="7" t="n">
        <v>0</v>
      </c>
      <c r="M265" s="22" t="n">
        <v>0</v>
      </c>
      <c r="N265" s="3"/>
      <c r="O265" s="3"/>
      <c r="P265" s="3"/>
    </row>
    <row r="266" customFormat="false" ht="15.75" hidden="false" customHeight="true" outlineLevel="0" collapsed="false">
      <c r="A266" s="8" t="n">
        <v>46186</v>
      </c>
      <c r="B266" s="7" t="s">
        <v>162</v>
      </c>
      <c r="C266" s="7" t="s">
        <v>97</v>
      </c>
      <c r="D266" s="7" t="s">
        <v>158</v>
      </c>
      <c r="E266" s="7" t="s">
        <v>159</v>
      </c>
      <c r="F266" s="7" t="s">
        <v>160</v>
      </c>
      <c r="G266" s="7" t="s">
        <v>39</v>
      </c>
      <c r="H266" s="7" t="n">
        <v>46</v>
      </c>
      <c r="I266" s="7" t="n">
        <v>56</v>
      </c>
      <c r="J266" s="7" t="n">
        <v>33</v>
      </c>
      <c r="K266" s="7" t="n">
        <v>114</v>
      </c>
      <c r="L266" s="7" t="n">
        <v>0</v>
      </c>
      <c r="M266" s="22" t="n">
        <v>0</v>
      </c>
      <c r="N266" s="3"/>
      <c r="O266" s="3"/>
      <c r="P266" s="3"/>
    </row>
    <row r="267" customFormat="false" ht="15.75" hidden="false" customHeight="true" outlineLevel="0" collapsed="false">
      <c r="A267" s="8" t="n">
        <v>46186</v>
      </c>
      <c r="B267" s="7" t="s">
        <v>163</v>
      </c>
      <c r="C267" s="7" t="s">
        <v>97</v>
      </c>
      <c r="D267" s="7" t="s">
        <v>158</v>
      </c>
      <c r="E267" s="7" t="s">
        <v>159</v>
      </c>
      <c r="F267" s="7" t="s">
        <v>165</v>
      </c>
      <c r="G267" s="7" t="s">
        <v>39</v>
      </c>
      <c r="H267" s="7" t="n">
        <v>34</v>
      </c>
      <c r="I267" s="7" t="n">
        <v>41</v>
      </c>
      <c r="J267" s="7" t="n">
        <v>24</v>
      </c>
      <c r="K267" s="7" t="n">
        <v>119</v>
      </c>
      <c r="L267" s="7" t="n">
        <v>0</v>
      </c>
      <c r="M267" s="22" t="n">
        <v>0</v>
      </c>
      <c r="N267" s="3"/>
      <c r="O267" s="3"/>
      <c r="P267" s="3"/>
    </row>
    <row r="268" customFormat="false" ht="15.75" hidden="false" customHeight="true" outlineLevel="0" collapsed="false">
      <c r="A268" s="8" t="n">
        <v>46186</v>
      </c>
      <c r="B268" s="7" t="s">
        <v>164</v>
      </c>
      <c r="C268" s="7" t="s">
        <v>87</v>
      </c>
      <c r="D268" s="7" t="s">
        <v>158</v>
      </c>
      <c r="E268" s="7" t="s">
        <v>159</v>
      </c>
      <c r="F268" s="7" t="s">
        <v>165</v>
      </c>
      <c r="G268" s="7" t="s">
        <v>39</v>
      </c>
      <c r="H268" s="7" t="n">
        <v>39</v>
      </c>
      <c r="I268" s="7" t="n">
        <v>47</v>
      </c>
      <c r="J268" s="7" t="n">
        <v>26</v>
      </c>
      <c r="K268" s="7" t="n">
        <v>74</v>
      </c>
      <c r="L268" s="7" t="n">
        <v>0</v>
      </c>
      <c r="M268" s="22" t="n">
        <v>0</v>
      </c>
      <c r="N268" s="3"/>
      <c r="O268" s="3"/>
      <c r="P268" s="3"/>
    </row>
    <row r="269" customFormat="false" ht="15.75" hidden="false" customHeight="true" outlineLevel="0" collapsed="false">
      <c r="A269" s="8" t="n">
        <v>46186</v>
      </c>
      <c r="B269" s="7" t="s">
        <v>166</v>
      </c>
      <c r="C269" s="7" t="s">
        <v>167</v>
      </c>
      <c r="D269" s="7" t="s">
        <v>158</v>
      </c>
      <c r="E269" s="7" t="s">
        <v>159</v>
      </c>
      <c r="F269" s="7" t="s">
        <v>160</v>
      </c>
      <c r="G269" s="7" t="s">
        <v>39</v>
      </c>
      <c r="H269" s="7" t="n">
        <v>19</v>
      </c>
      <c r="I269" s="7" t="n">
        <v>23</v>
      </c>
      <c r="J269" s="7" t="n">
        <v>12</v>
      </c>
      <c r="K269" s="7" t="n">
        <v>82</v>
      </c>
      <c r="L269" s="7" t="n">
        <v>0</v>
      </c>
      <c r="M269" s="22" t="n">
        <v>0</v>
      </c>
      <c r="N269" s="3"/>
      <c r="O269" s="3"/>
      <c r="P269" s="3"/>
    </row>
    <row r="270" customFormat="false" ht="15.75" hidden="false" customHeight="true" outlineLevel="0" collapsed="false">
      <c r="A270" s="8" t="n">
        <v>46187</v>
      </c>
      <c r="B270" s="7" t="s">
        <v>157</v>
      </c>
      <c r="C270" s="7" t="s">
        <v>92</v>
      </c>
      <c r="D270" s="7" t="s">
        <v>158</v>
      </c>
      <c r="E270" s="7" t="s">
        <v>159</v>
      </c>
      <c r="F270" s="7" t="s">
        <v>165</v>
      </c>
      <c r="G270" s="7" t="s">
        <v>39</v>
      </c>
      <c r="H270" s="7" t="n">
        <v>55</v>
      </c>
      <c r="I270" s="7" t="n">
        <v>67</v>
      </c>
      <c r="J270" s="7" t="n">
        <v>44</v>
      </c>
      <c r="K270" s="7" t="n">
        <v>87</v>
      </c>
      <c r="L270" s="7" t="n">
        <v>0</v>
      </c>
      <c r="M270" s="22" t="n">
        <v>0</v>
      </c>
      <c r="N270" s="3"/>
      <c r="O270" s="3"/>
      <c r="P270" s="3"/>
    </row>
    <row r="271" customFormat="false" ht="15.75" hidden="false" customHeight="true" outlineLevel="0" collapsed="false">
      <c r="A271" s="8" t="n">
        <v>46187</v>
      </c>
      <c r="B271" s="7" t="s">
        <v>161</v>
      </c>
      <c r="C271" s="7" t="s">
        <v>92</v>
      </c>
      <c r="D271" s="7" t="s">
        <v>158</v>
      </c>
      <c r="E271" s="7" t="s">
        <v>159</v>
      </c>
      <c r="F271" s="7" t="s">
        <v>160</v>
      </c>
      <c r="G271" s="7" t="s">
        <v>39</v>
      </c>
      <c r="H271" s="7" t="n">
        <v>60</v>
      </c>
      <c r="I271" s="7" t="n">
        <v>73</v>
      </c>
      <c r="J271" s="7" t="n">
        <v>48</v>
      </c>
      <c r="K271" s="7" t="n">
        <v>87</v>
      </c>
      <c r="L271" s="7" t="n">
        <v>0</v>
      </c>
      <c r="M271" s="22" t="n">
        <v>0</v>
      </c>
      <c r="N271" s="3"/>
      <c r="O271" s="3"/>
      <c r="P271" s="3"/>
    </row>
    <row r="272" customFormat="false" ht="15.75" hidden="false" customHeight="true" outlineLevel="0" collapsed="false">
      <c r="A272" s="8" t="n">
        <v>46187</v>
      </c>
      <c r="B272" s="7" t="s">
        <v>162</v>
      </c>
      <c r="C272" s="7" t="s">
        <v>97</v>
      </c>
      <c r="D272" s="7" t="s">
        <v>158</v>
      </c>
      <c r="E272" s="7" t="s">
        <v>159</v>
      </c>
      <c r="F272" s="7" t="s">
        <v>160</v>
      </c>
      <c r="G272" s="7" t="s">
        <v>39</v>
      </c>
      <c r="H272" s="7" t="n">
        <v>39</v>
      </c>
      <c r="I272" s="7" t="n">
        <v>48</v>
      </c>
      <c r="J272" s="7" t="n">
        <v>28</v>
      </c>
      <c r="K272" s="7" t="n">
        <v>114</v>
      </c>
      <c r="L272" s="7" t="n">
        <v>0</v>
      </c>
      <c r="M272" s="22" t="n">
        <v>0</v>
      </c>
      <c r="N272" s="3"/>
      <c r="O272" s="3"/>
      <c r="P272" s="3"/>
    </row>
    <row r="273" customFormat="false" ht="15.75" hidden="false" customHeight="true" outlineLevel="0" collapsed="false">
      <c r="A273" s="8" t="n">
        <v>46187</v>
      </c>
      <c r="B273" s="7" t="s">
        <v>163</v>
      </c>
      <c r="C273" s="7" t="s">
        <v>97</v>
      </c>
      <c r="D273" s="7" t="s">
        <v>158</v>
      </c>
      <c r="E273" s="7" t="s">
        <v>159</v>
      </c>
      <c r="F273" s="7" t="s">
        <v>160</v>
      </c>
      <c r="G273" s="7" t="s">
        <v>39</v>
      </c>
      <c r="H273" s="7" t="n">
        <v>48</v>
      </c>
      <c r="I273" s="7" t="n">
        <v>58</v>
      </c>
      <c r="J273" s="7" t="n">
        <v>34</v>
      </c>
      <c r="K273" s="7" t="n">
        <v>122</v>
      </c>
      <c r="L273" s="7" t="n">
        <v>0</v>
      </c>
      <c r="M273" s="22" t="n">
        <v>0</v>
      </c>
      <c r="N273" s="3"/>
      <c r="O273" s="3"/>
      <c r="P273" s="3"/>
    </row>
    <row r="274" customFormat="false" ht="15.75" hidden="false" customHeight="true" outlineLevel="0" collapsed="false">
      <c r="A274" s="8" t="n">
        <v>46187</v>
      </c>
      <c r="B274" s="7" t="s">
        <v>164</v>
      </c>
      <c r="C274" s="7" t="s">
        <v>87</v>
      </c>
      <c r="D274" s="7" t="s">
        <v>158</v>
      </c>
      <c r="E274" s="7" t="s">
        <v>159</v>
      </c>
      <c r="F274" s="7" t="s">
        <v>160</v>
      </c>
      <c r="G274" s="7" t="s">
        <v>39</v>
      </c>
      <c r="H274" s="7" t="n">
        <v>29</v>
      </c>
      <c r="I274" s="7" t="n">
        <v>36</v>
      </c>
      <c r="J274" s="7" t="n">
        <v>20</v>
      </c>
      <c r="K274" s="7" t="n">
        <v>67</v>
      </c>
      <c r="L274" s="7" t="n">
        <v>0</v>
      </c>
      <c r="M274" s="22" t="n">
        <v>0</v>
      </c>
      <c r="N274" s="3"/>
      <c r="O274" s="3"/>
      <c r="P274" s="3"/>
    </row>
    <row r="275" customFormat="false" ht="15.75" hidden="false" customHeight="true" outlineLevel="0" collapsed="false">
      <c r="A275" s="8" t="n">
        <v>46187</v>
      </c>
      <c r="B275" s="7" t="s">
        <v>166</v>
      </c>
      <c r="C275" s="7" t="s">
        <v>167</v>
      </c>
      <c r="D275" s="7" t="s">
        <v>158</v>
      </c>
      <c r="E275" s="7" t="s">
        <v>159</v>
      </c>
      <c r="F275" s="7" t="s">
        <v>160</v>
      </c>
      <c r="G275" s="7" t="s">
        <v>39</v>
      </c>
      <c r="H275" s="7" t="n">
        <v>21</v>
      </c>
      <c r="I275" s="7" t="n">
        <v>26</v>
      </c>
      <c r="J275" s="7" t="n">
        <v>14</v>
      </c>
      <c r="K275" s="7" t="n">
        <v>66</v>
      </c>
      <c r="L275" s="7" t="n">
        <v>0</v>
      </c>
      <c r="M275" s="22" t="n">
        <v>0</v>
      </c>
      <c r="N275" s="3"/>
      <c r="O275" s="3"/>
      <c r="P275" s="3"/>
    </row>
    <row r="276" customFormat="false" ht="15.75" hidden="false" customHeight="true" outlineLevel="0" collapsed="false">
      <c r="A276" s="8" t="n">
        <v>46188</v>
      </c>
      <c r="B276" s="7" t="s">
        <v>157</v>
      </c>
      <c r="C276" s="7" t="s">
        <v>92</v>
      </c>
      <c r="D276" s="7" t="s">
        <v>158</v>
      </c>
      <c r="E276" s="7" t="s">
        <v>159</v>
      </c>
      <c r="F276" s="7" t="s">
        <v>160</v>
      </c>
      <c r="G276" s="7" t="s">
        <v>39</v>
      </c>
      <c r="H276" s="7" t="n">
        <v>48</v>
      </c>
      <c r="I276" s="7" t="n">
        <v>59</v>
      </c>
      <c r="J276" s="7" t="n">
        <v>38</v>
      </c>
      <c r="K276" s="7" t="n">
        <v>106</v>
      </c>
      <c r="L276" s="7" t="n">
        <v>0</v>
      </c>
      <c r="M276" s="22" t="n">
        <v>0</v>
      </c>
      <c r="N276" s="3"/>
      <c r="O276" s="3"/>
      <c r="P276" s="3"/>
    </row>
    <row r="277" customFormat="false" ht="15.75" hidden="false" customHeight="true" outlineLevel="0" collapsed="false">
      <c r="A277" s="8" t="n">
        <v>46188</v>
      </c>
      <c r="B277" s="7" t="s">
        <v>161</v>
      </c>
      <c r="C277" s="7" t="s">
        <v>92</v>
      </c>
      <c r="D277" s="7" t="s">
        <v>158</v>
      </c>
      <c r="E277" s="7" t="s">
        <v>159</v>
      </c>
      <c r="F277" s="7" t="s">
        <v>165</v>
      </c>
      <c r="G277" s="7" t="s">
        <v>39</v>
      </c>
      <c r="H277" s="7" t="n">
        <v>60</v>
      </c>
      <c r="I277" s="7" t="n">
        <v>73</v>
      </c>
      <c r="J277" s="7" t="n">
        <v>48</v>
      </c>
      <c r="K277" s="7" t="n">
        <v>92</v>
      </c>
      <c r="L277" s="7" t="n">
        <v>0</v>
      </c>
      <c r="M277" s="22" t="n">
        <v>0</v>
      </c>
      <c r="N277" s="3"/>
      <c r="O277" s="3"/>
      <c r="P277" s="3"/>
    </row>
    <row r="278" customFormat="false" ht="15.75" hidden="false" customHeight="true" outlineLevel="0" collapsed="false">
      <c r="A278" s="8" t="n">
        <v>46188</v>
      </c>
      <c r="B278" s="7" t="s">
        <v>162</v>
      </c>
      <c r="C278" s="7" t="s">
        <v>97</v>
      </c>
      <c r="D278" s="7" t="s">
        <v>158</v>
      </c>
      <c r="E278" s="7" t="s">
        <v>159</v>
      </c>
      <c r="F278" s="7" t="s">
        <v>160</v>
      </c>
      <c r="G278" s="7" t="s">
        <v>39</v>
      </c>
      <c r="H278" s="7" t="n">
        <v>43</v>
      </c>
      <c r="I278" s="7" t="n">
        <v>53</v>
      </c>
      <c r="J278" s="7" t="n">
        <v>31</v>
      </c>
      <c r="K278" s="7" t="n">
        <v>104</v>
      </c>
      <c r="L278" s="7" t="n">
        <v>0</v>
      </c>
      <c r="M278" s="22" t="n">
        <v>0</v>
      </c>
      <c r="N278" s="3"/>
      <c r="O278" s="3"/>
      <c r="P278" s="3"/>
    </row>
    <row r="279" customFormat="false" ht="15.75" hidden="false" customHeight="true" outlineLevel="0" collapsed="false">
      <c r="A279" s="8" t="n">
        <v>46188</v>
      </c>
      <c r="B279" s="7" t="s">
        <v>163</v>
      </c>
      <c r="C279" s="7" t="s">
        <v>97</v>
      </c>
      <c r="D279" s="7" t="s">
        <v>158</v>
      </c>
      <c r="E279" s="7" t="s">
        <v>159</v>
      </c>
      <c r="F279" s="7" t="s">
        <v>160</v>
      </c>
      <c r="G279" s="7" t="s">
        <v>39</v>
      </c>
      <c r="H279" s="7" t="n">
        <v>44</v>
      </c>
      <c r="I279" s="7" t="n">
        <v>54</v>
      </c>
      <c r="J279" s="7" t="n">
        <v>32</v>
      </c>
      <c r="K279" s="7" t="n">
        <v>104</v>
      </c>
      <c r="L279" s="7" t="n">
        <v>0</v>
      </c>
      <c r="M279" s="22" t="n">
        <v>0</v>
      </c>
      <c r="N279" s="3"/>
      <c r="O279" s="3"/>
      <c r="P279" s="3"/>
    </row>
    <row r="280" customFormat="false" ht="15.75" hidden="false" customHeight="true" outlineLevel="0" collapsed="false">
      <c r="A280" s="8" t="n">
        <v>46188</v>
      </c>
      <c r="B280" s="7" t="s">
        <v>164</v>
      </c>
      <c r="C280" s="7" t="s">
        <v>87</v>
      </c>
      <c r="D280" s="7" t="s">
        <v>158</v>
      </c>
      <c r="E280" s="7" t="s">
        <v>159</v>
      </c>
      <c r="F280" s="7" t="s">
        <v>165</v>
      </c>
      <c r="G280" s="7" t="s">
        <v>39</v>
      </c>
      <c r="H280" s="7" t="n">
        <v>39</v>
      </c>
      <c r="I280" s="7" t="n">
        <v>48</v>
      </c>
      <c r="J280" s="7" t="n">
        <v>26</v>
      </c>
      <c r="K280" s="7" t="n">
        <v>78</v>
      </c>
      <c r="L280" s="7" t="n">
        <v>0</v>
      </c>
      <c r="M280" s="22" t="n">
        <v>0</v>
      </c>
      <c r="N280" s="3"/>
      <c r="O280" s="3"/>
      <c r="P280" s="3"/>
    </row>
    <row r="281" customFormat="false" ht="15.75" hidden="false" customHeight="true" outlineLevel="0" collapsed="false">
      <c r="A281" s="8" t="n">
        <v>46188</v>
      </c>
      <c r="B281" s="7" t="s">
        <v>166</v>
      </c>
      <c r="C281" s="7" t="s">
        <v>167</v>
      </c>
      <c r="D281" s="7" t="s">
        <v>158</v>
      </c>
      <c r="E281" s="7" t="s">
        <v>159</v>
      </c>
      <c r="F281" s="7" t="s">
        <v>160</v>
      </c>
      <c r="G281" s="7" t="s">
        <v>39</v>
      </c>
      <c r="H281" s="7" t="n">
        <v>15</v>
      </c>
      <c r="I281" s="7" t="n">
        <v>19</v>
      </c>
      <c r="J281" s="7" t="n">
        <v>10</v>
      </c>
      <c r="K281" s="7" t="n">
        <v>73</v>
      </c>
      <c r="L281" s="7" t="n">
        <v>0</v>
      </c>
      <c r="M281" s="22" t="n">
        <v>0</v>
      </c>
      <c r="N281" s="3"/>
      <c r="O281" s="3"/>
      <c r="P281" s="3"/>
    </row>
    <row r="282" customFormat="false" ht="15.75" hidden="false" customHeight="true" outlineLevel="0" collapsed="false">
      <c r="A282" s="8" t="n">
        <v>46189</v>
      </c>
      <c r="B282" s="7" t="s">
        <v>157</v>
      </c>
      <c r="C282" s="7" t="s">
        <v>92</v>
      </c>
      <c r="D282" s="7" t="s">
        <v>158</v>
      </c>
      <c r="E282" s="7" t="s">
        <v>159</v>
      </c>
      <c r="F282" s="7" t="s">
        <v>160</v>
      </c>
      <c r="G282" s="7" t="s">
        <v>39</v>
      </c>
      <c r="H282" s="7" t="n">
        <v>61</v>
      </c>
      <c r="I282" s="7" t="n">
        <v>74</v>
      </c>
      <c r="J282" s="7" t="n">
        <v>48</v>
      </c>
      <c r="K282" s="7" t="n">
        <v>92</v>
      </c>
      <c r="L282" s="7" t="n">
        <v>0</v>
      </c>
      <c r="M282" s="22" t="n">
        <v>0</v>
      </c>
      <c r="N282" s="3"/>
      <c r="O282" s="3"/>
      <c r="P282" s="3"/>
    </row>
    <row r="283" customFormat="false" ht="15.75" hidden="false" customHeight="true" outlineLevel="0" collapsed="false">
      <c r="A283" s="8" t="n">
        <v>46189</v>
      </c>
      <c r="B283" s="7" t="s">
        <v>161</v>
      </c>
      <c r="C283" s="7" t="s">
        <v>92</v>
      </c>
      <c r="D283" s="7" t="s">
        <v>158</v>
      </c>
      <c r="E283" s="7" t="s">
        <v>159</v>
      </c>
      <c r="F283" s="7" t="s">
        <v>160</v>
      </c>
      <c r="G283" s="7" t="s">
        <v>39</v>
      </c>
      <c r="H283" s="7" t="n">
        <v>48</v>
      </c>
      <c r="I283" s="7" t="n">
        <v>59</v>
      </c>
      <c r="J283" s="7" t="n">
        <v>38</v>
      </c>
      <c r="K283" s="7" t="n">
        <v>94</v>
      </c>
      <c r="L283" s="7" t="n">
        <v>0</v>
      </c>
      <c r="M283" s="22" t="n">
        <v>0</v>
      </c>
      <c r="N283" s="3"/>
      <c r="O283" s="3"/>
      <c r="P283" s="3"/>
    </row>
    <row r="284" customFormat="false" ht="15.75" hidden="false" customHeight="true" outlineLevel="0" collapsed="false">
      <c r="A284" s="8" t="n">
        <v>46189</v>
      </c>
      <c r="B284" s="7" t="s">
        <v>162</v>
      </c>
      <c r="C284" s="7" t="s">
        <v>97</v>
      </c>
      <c r="D284" s="7" t="s">
        <v>158</v>
      </c>
      <c r="E284" s="7" t="s">
        <v>159</v>
      </c>
      <c r="F284" s="7" t="s">
        <v>160</v>
      </c>
      <c r="G284" s="7" t="s">
        <v>39</v>
      </c>
      <c r="H284" s="7" t="n">
        <v>35</v>
      </c>
      <c r="I284" s="7" t="n">
        <v>43</v>
      </c>
      <c r="J284" s="7" t="n">
        <v>25</v>
      </c>
      <c r="K284" s="7" t="n">
        <v>119</v>
      </c>
      <c r="L284" s="7" t="n">
        <v>0</v>
      </c>
      <c r="M284" s="22" t="n">
        <v>0</v>
      </c>
      <c r="N284" s="3"/>
      <c r="O284" s="3"/>
      <c r="P284" s="3"/>
    </row>
    <row r="285" customFormat="false" ht="15.75" hidden="false" customHeight="true" outlineLevel="0" collapsed="false">
      <c r="A285" s="8" t="n">
        <v>46189</v>
      </c>
      <c r="B285" s="7" t="s">
        <v>163</v>
      </c>
      <c r="C285" s="7" t="s">
        <v>97</v>
      </c>
      <c r="D285" s="7" t="s">
        <v>158</v>
      </c>
      <c r="E285" s="7" t="s">
        <v>159</v>
      </c>
      <c r="F285" s="7" t="s">
        <v>160</v>
      </c>
      <c r="G285" s="7" t="s">
        <v>39</v>
      </c>
      <c r="H285" s="7" t="n">
        <v>35</v>
      </c>
      <c r="I285" s="7" t="n">
        <v>43</v>
      </c>
      <c r="J285" s="7" t="n">
        <v>25</v>
      </c>
      <c r="K285" s="7" t="n">
        <v>118</v>
      </c>
      <c r="L285" s="7" t="n">
        <v>0</v>
      </c>
      <c r="M285" s="22" t="n">
        <v>0</v>
      </c>
      <c r="N285" s="3"/>
      <c r="O285" s="3"/>
      <c r="P285" s="3"/>
    </row>
    <row r="286" customFormat="false" ht="15.75" hidden="false" customHeight="true" outlineLevel="0" collapsed="false">
      <c r="A286" s="8" t="n">
        <v>46189</v>
      </c>
      <c r="B286" s="7" t="s">
        <v>164</v>
      </c>
      <c r="C286" s="7" t="s">
        <v>87</v>
      </c>
      <c r="D286" s="7" t="s">
        <v>158</v>
      </c>
      <c r="E286" s="7" t="s">
        <v>159</v>
      </c>
      <c r="F286" s="7" t="s">
        <v>160</v>
      </c>
      <c r="G286" s="7" t="s">
        <v>39</v>
      </c>
      <c r="H286" s="7" t="n">
        <v>36</v>
      </c>
      <c r="I286" s="7" t="n">
        <v>44</v>
      </c>
      <c r="J286" s="7" t="n">
        <v>24</v>
      </c>
      <c r="K286" s="7" t="n">
        <v>85</v>
      </c>
      <c r="L286" s="7" t="n">
        <v>0</v>
      </c>
      <c r="M286" s="22" t="n">
        <v>0</v>
      </c>
      <c r="N286" s="3"/>
      <c r="O286" s="3"/>
      <c r="P286" s="3"/>
    </row>
    <row r="287" customFormat="false" ht="15.75" hidden="false" customHeight="true" outlineLevel="0" collapsed="false">
      <c r="A287" s="8" t="n">
        <v>46189</v>
      </c>
      <c r="B287" s="7" t="s">
        <v>166</v>
      </c>
      <c r="C287" s="7" t="s">
        <v>167</v>
      </c>
      <c r="D287" s="7" t="s">
        <v>158</v>
      </c>
      <c r="E287" s="7" t="s">
        <v>159</v>
      </c>
      <c r="F287" s="7" t="s">
        <v>160</v>
      </c>
      <c r="G287" s="7" t="s">
        <v>39</v>
      </c>
      <c r="H287" s="7" t="n">
        <v>15</v>
      </c>
      <c r="I287" s="7" t="n">
        <v>19</v>
      </c>
      <c r="J287" s="7" t="n">
        <v>10</v>
      </c>
      <c r="K287" s="7" t="n">
        <v>81</v>
      </c>
      <c r="L287" s="7" t="n">
        <v>0</v>
      </c>
      <c r="M287" s="22" t="n">
        <v>0</v>
      </c>
      <c r="N287" s="3"/>
      <c r="O287" s="3"/>
      <c r="P287" s="3"/>
    </row>
    <row r="288" customFormat="false" ht="15.75" hidden="false" customHeight="true" outlineLevel="0" collapsed="false">
      <c r="A288" s="8" t="n">
        <v>46190</v>
      </c>
      <c r="B288" s="7" t="s">
        <v>157</v>
      </c>
      <c r="C288" s="7" t="s">
        <v>92</v>
      </c>
      <c r="D288" s="7" t="s">
        <v>158</v>
      </c>
      <c r="E288" s="7" t="s">
        <v>159</v>
      </c>
      <c r="F288" s="7" t="s">
        <v>165</v>
      </c>
      <c r="G288" s="7" t="s">
        <v>39</v>
      </c>
      <c r="H288" s="7" t="n">
        <v>47</v>
      </c>
      <c r="I288" s="7" t="n">
        <v>57</v>
      </c>
      <c r="J288" s="7" t="n">
        <v>37</v>
      </c>
      <c r="K288" s="7" t="n">
        <v>106</v>
      </c>
      <c r="L288" s="7" t="n">
        <v>0</v>
      </c>
      <c r="M288" s="22" t="n">
        <v>0</v>
      </c>
      <c r="N288" s="3"/>
      <c r="O288" s="3"/>
      <c r="P288" s="3"/>
    </row>
    <row r="289" customFormat="false" ht="15.75" hidden="false" customHeight="true" outlineLevel="0" collapsed="false">
      <c r="A289" s="8" t="n">
        <v>46190</v>
      </c>
      <c r="B289" s="7" t="s">
        <v>161</v>
      </c>
      <c r="C289" s="7" t="s">
        <v>92</v>
      </c>
      <c r="D289" s="7" t="s">
        <v>158</v>
      </c>
      <c r="E289" s="7" t="s">
        <v>159</v>
      </c>
      <c r="F289" s="7" t="s">
        <v>160</v>
      </c>
      <c r="G289" s="7" t="s">
        <v>39</v>
      </c>
      <c r="H289" s="7" t="n">
        <v>50</v>
      </c>
      <c r="I289" s="7" t="n">
        <v>61</v>
      </c>
      <c r="J289" s="7" t="n">
        <v>40</v>
      </c>
      <c r="K289" s="7" t="n">
        <v>92</v>
      </c>
      <c r="L289" s="7" t="n">
        <v>0</v>
      </c>
      <c r="M289" s="22" t="n">
        <v>0</v>
      </c>
      <c r="N289" s="3"/>
      <c r="O289" s="3"/>
      <c r="P289" s="3"/>
    </row>
    <row r="290" customFormat="false" ht="15.75" hidden="false" customHeight="true" outlineLevel="0" collapsed="false">
      <c r="A290" s="8" t="n">
        <v>46190</v>
      </c>
      <c r="B290" s="7" t="s">
        <v>162</v>
      </c>
      <c r="C290" s="7" t="s">
        <v>97</v>
      </c>
      <c r="D290" s="7" t="s">
        <v>158</v>
      </c>
      <c r="E290" s="7" t="s">
        <v>159</v>
      </c>
      <c r="F290" s="7" t="s">
        <v>165</v>
      </c>
      <c r="G290" s="7" t="s">
        <v>39</v>
      </c>
      <c r="H290" s="7" t="n">
        <v>47</v>
      </c>
      <c r="I290" s="7" t="n">
        <v>57</v>
      </c>
      <c r="J290" s="7" t="n">
        <v>34</v>
      </c>
      <c r="K290" s="7" t="n">
        <v>121</v>
      </c>
      <c r="L290" s="7" t="n">
        <v>0</v>
      </c>
      <c r="M290" s="22" t="n">
        <v>0</v>
      </c>
      <c r="N290" s="3"/>
      <c r="O290" s="3"/>
      <c r="P290" s="3"/>
    </row>
    <row r="291" customFormat="false" ht="15.75" hidden="false" customHeight="true" outlineLevel="0" collapsed="false">
      <c r="A291" s="8" t="n">
        <v>46190</v>
      </c>
      <c r="B291" s="7" t="s">
        <v>163</v>
      </c>
      <c r="C291" s="7" t="s">
        <v>97</v>
      </c>
      <c r="D291" s="7" t="s">
        <v>158</v>
      </c>
      <c r="E291" s="7" t="s">
        <v>159</v>
      </c>
      <c r="F291" s="7" t="s">
        <v>160</v>
      </c>
      <c r="G291" s="7" t="s">
        <v>39</v>
      </c>
      <c r="H291" s="7" t="n">
        <v>43</v>
      </c>
      <c r="I291" s="7" t="n">
        <v>52</v>
      </c>
      <c r="J291" s="7" t="n">
        <v>31</v>
      </c>
      <c r="K291" s="7" t="n">
        <v>115</v>
      </c>
      <c r="L291" s="7" t="n">
        <v>0</v>
      </c>
      <c r="M291" s="22" t="n">
        <v>0</v>
      </c>
      <c r="N291" s="3"/>
      <c r="O291" s="3"/>
      <c r="P291" s="3"/>
    </row>
    <row r="292" customFormat="false" ht="15.75" hidden="false" customHeight="true" outlineLevel="0" collapsed="false">
      <c r="A292" s="8" t="n">
        <v>46190</v>
      </c>
      <c r="B292" s="7" t="s">
        <v>164</v>
      </c>
      <c r="C292" s="7" t="s">
        <v>87</v>
      </c>
      <c r="D292" s="7" t="s">
        <v>158</v>
      </c>
      <c r="E292" s="7" t="s">
        <v>159</v>
      </c>
      <c r="F292" s="7" t="s">
        <v>160</v>
      </c>
      <c r="G292" s="7" t="s">
        <v>39</v>
      </c>
      <c r="H292" s="7" t="n">
        <v>31</v>
      </c>
      <c r="I292" s="7" t="n">
        <v>38</v>
      </c>
      <c r="J292" s="7" t="n">
        <v>21</v>
      </c>
      <c r="K292" s="7" t="n">
        <v>69</v>
      </c>
      <c r="L292" s="7" t="n">
        <v>0</v>
      </c>
      <c r="M292" s="22" t="n">
        <v>0</v>
      </c>
      <c r="N292" s="3"/>
      <c r="O292" s="3"/>
      <c r="P292" s="3"/>
    </row>
    <row r="293" customFormat="false" ht="15.75" hidden="false" customHeight="true" outlineLevel="0" collapsed="false">
      <c r="A293" s="8" t="n">
        <v>46190</v>
      </c>
      <c r="B293" s="7" t="s">
        <v>166</v>
      </c>
      <c r="C293" s="7" t="s">
        <v>167</v>
      </c>
      <c r="D293" s="7" t="s">
        <v>158</v>
      </c>
      <c r="E293" s="7" t="s">
        <v>159</v>
      </c>
      <c r="F293" s="7" t="s">
        <v>160</v>
      </c>
      <c r="G293" s="7" t="s">
        <v>39</v>
      </c>
      <c r="H293" s="7" t="n">
        <v>16</v>
      </c>
      <c r="I293" s="7" t="n">
        <v>20</v>
      </c>
      <c r="J293" s="7" t="n">
        <v>11</v>
      </c>
      <c r="K293" s="7" t="n">
        <v>72</v>
      </c>
      <c r="L293" s="7" t="n">
        <v>0</v>
      </c>
      <c r="M293" s="22" t="n">
        <v>0</v>
      </c>
      <c r="N293" s="3"/>
      <c r="O293" s="3"/>
      <c r="P293" s="3"/>
    </row>
    <row r="294" customFormat="false" ht="15.75" hidden="false" customHeight="true" outlineLevel="0" collapsed="false">
      <c r="A294" s="8" t="n">
        <v>46191</v>
      </c>
      <c r="B294" s="7" t="s">
        <v>157</v>
      </c>
      <c r="C294" s="7" t="s">
        <v>92</v>
      </c>
      <c r="D294" s="7" t="s">
        <v>158</v>
      </c>
      <c r="E294" s="7" t="s">
        <v>159</v>
      </c>
      <c r="F294" s="7" t="s">
        <v>160</v>
      </c>
      <c r="G294" s="7" t="s">
        <v>39</v>
      </c>
      <c r="H294" s="7" t="n">
        <v>55</v>
      </c>
      <c r="I294" s="7" t="n">
        <v>67</v>
      </c>
      <c r="J294" s="7" t="n">
        <v>44</v>
      </c>
      <c r="K294" s="7" t="n">
        <v>97</v>
      </c>
      <c r="L294" s="7" t="n">
        <v>0</v>
      </c>
      <c r="M294" s="22" t="n">
        <v>0</v>
      </c>
      <c r="N294" s="3"/>
      <c r="O294" s="3"/>
      <c r="P294" s="3"/>
    </row>
    <row r="295" customFormat="false" ht="15.75" hidden="false" customHeight="true" outlineLevel="0" collapsed="false">
      <c r="A295" s="8" t="n">
        <v>46191</v>
      </c>
      <c r="B295" s="7" t="s">
        <v>161</v>
      </c>
      <c r="C295" s="7" t="s">
        <v>92</v>
      </c>
      <c r="D295" s="7" t="s">
        <v>158</v>
      </c>
      <c r="E295" s="7" t="s">
        <v>159</v>
      </c>
      <c r="F295" s="7" t="s">
        <v>160</v>
      </c>
      <c r="G295" s="7" t="s">
        <v>39</v>
      </c>
      <c r="H295" s="7" t="n">
        <v>49</v>
      </c>
      <c r="I295" s="7" t="n">
        <v>60</v>
      </c>
      <c r="J295" s="7" t="n">
        <v>39</v>
      </c>
      <c r="K295" s="7" t="n">
        <v>87</v>
      </c>
      <c r="L295" s="7" t="n">
        <v>0</v>
      </c>
      <c r="M295" s="22" t="n">
        <v>0</v>
      </c>
      <c r="N295" s="3"/>
      <c r="O295" s="3"/>
      <c r="P295" s="3"/>
    </row>
    <row r="296" customFormat="false" ht="15.75" hidden="false" customHeight="true" outlineLevel="0" collapsed="false">
      <c r="A296" s="8" t="n">
        <v>46191</v>
      </c>
      <c r="B296" s="7" t="s">
        <v>162</v>
      </c>
      <c r="C296" s="7" t="s">
        <v>97</v>
      </c>
      <c r="D296" s="7" t="s">
        <v>158</v>
      </c>
      <c r="E296" s="7" t="s">
        <v>159</v>
      </c>
      <c r="F296" s="7" t="s">
        <v>160</v>
      </c>
      <c r="G296" s="7" t="s">
        <v>39</v>
      </c>
      <c r="H296" s="7" t="n">
        <v>37</v>
      </c>
      <c r="I296" s="7" t="n">
        <v>45</v>
      </c>
      <c r="J296" s="7" t="n">
        <v>27</v>
      </c>
      <c r="K296" s="7" t="n">
        <v>103</v>
      </c>
      <c r="L296" s="7" t="n">
        <v>0</v>
      </c>
      <c r="M296" s="22" t="n">
        <v>0</v>
      </c>
      <c r="N296" s="3"/>
      <c r="O296" s="3"/>
      <c r="P296" s="3"/>
    </row>
    <row r="297" customFormat="false" ht="15.75" hidden="false" customHeight="true" outlineLevel="0" collapsed="false">
      <c r="A297" s="8" t="n">
        <v>46191</v>
      </c>
      <c r="B297" s="7" t="s">
        <v>163</v>
      </c>
      <c r="C297" s="7" t="s">
        <v>97</v>
      </c>
      <c r="D297" s="7" t="s">
        <v>158</v>
      </c>
      <c r="E297" s="7" t="s">
        <v>159</v>
      </c>
      <c r="F297" s="7" t="s">
        <v>160</v>
      </c>
      <c r="G297" s="7" t="s">
        <v>39</v>
      </c>
      <c r="H297" s="7" t="n">
        <v>44</v>
      </c>
      <c r="I297" s="7" t="n">
        <v>54</v>
      </c>
      <c r="J297" s="7" t="n">
        <v>32</v>
      </c>
      <c r="K297" s="7" t="n">
        <v>116</v>
      </c>
      <c r="L297" s="7" t="n">
        <v>0</v>
      </c>
      <c r="M297" s="22" t="n">
        <v>0</v>
      </c>
      <c r="N297" s="3"/>
      <c r="O297" s="3"/>
      <c r="P297" s="3"/>
    </row>
    <row r="298" customFormat="false" ht="15.75" hidden="false" customHeight="true" outlineLevel="0" collapsed="false">
      <c r="A298" s="8" t="n">
        <v>46191</v>
      </c>
      <c r="B298" s="7" t="s">
        <v>164</v>
      </c>
      <c r="C298" s="7" t="s">
        <v>87</v>
      </c>
      <c r="D298" s="7" t="s">
        <v>158</v>
      </c>
      <c r="E298" s="7" t="s">
        <v>159</v>
      </c>
      <c r="F298" s="7" t="s">
        <v>165</v>
      </c>
      <c r="G298" s="7" t="s">
        <v>39</v>
      </c>
      <c r="H298" s="7" t="n">
        <v>32</v>
      </c>
      <c r="I298" s="7" t="n">
        <v>39</v>
      </c>
      <c r="J298" s="7" t="n">
        <v>21</v>
      </c>
      <c r="K298" s="7" t="n">
        <v>64</v>
      </c>
      <c r="L298" s="7" t="n">
        <v>0</v>
      </c>
      <c r="M298" s="22" t="n">
        <v>0</v>
      </c>
      <c r="N298" s="3"/>
      <c r="O298" s="3"/>
      <c r="P298" s="3"/>
    </row>
    <row r="299" customFormat="false" ht="15.75" hidden="false" customHeight="true" outlineLevel="0" collapsed="false">
      <c r="A299" s="8" t="n">
        <v>46191</v>
      </c>
      <c r="B299" s="7" t="s">
        <v>166</v>
      </c>
      <c r="C299" s="7" t="s">
        <v>167</v>
      </c>
      <c r="D299" s="7" t="s">
        <v>158</v>
      </c>
      <c r="E299" s="7" t="s">
        <v>159</v>
      </c>
      <c r="F299" s="7" t="s">
        <v>160</v>
      </c>
      <c r="G299" s="7" t="s">
        <v>39</v>
      </c>
      <c r="H299" s="7" t="n">
        <v>19</v>
      </c>
      <c r="I299" s="7" t="n">
        <v>23</v>
      </c>
      <c r="J299" s="7" t="n">
        <v>12</v>
      </c>
      <c r="K299" s="7" t="n">
        <v>76</v>
      </c>
      <c r="L299" s="7" t="n">
        <v>0</v>
      </c>
      <c r="M299" s="22" t="n">
        <v>0</v>
      </c>
      <c r="N299" s="3"/>
      <c r="O299" s="3"/>
      <c r="P299" s="3"/>
    </row>
    <row r="300" customFormat="false" ht="15.75" hidden="false" customHeight="true" outlineLevel="0" collapsed="false">
      <c r="A300" s="8" t="n">
        <v>46192</v>
      </c>
      <c r="B300" s="7" t="s">
        <v>157</v>
      </c>
      <c r="C300" s="7" t="s">
        <v>92</v>
      </c>
      <c r="D300" s="7" t="s">
        <v>158</v>
      </c>
      <c r="E300" s="7" t="s">
        <v>159</v>
      </c>
      <c r="F300" s="7" t="s">
        <v>160</v>
      </c>
      <c r="G300" s="7" t="s">
        <v>39</v>
      </c>
      <c r="H300" s="7" t="n">
        <v>58</v>
      </c>
      <c r="I300" s="7" t="n">
        <v>70</v>
      </c>
      <c r="J300" s="7" t="n">
        <v>46</v>
      </c>
      <c r="K300" s="7" t="n">
        <v>99</v>
      </c>
      <c r="L300" s="7" t="n">
        <v>0</v>
      </c>
      <c r="M300" s="22" t="n">
        <v>0</v>
      </c>
      <c r="N300" s="3"/>
      <c r="O300" s="3"/>
      <c r="P300" s="3"/>
    </row>
    <row r="301" customFormat="false" ht="15.75" hidden="false" customHeight="true" outlineLevel="0" collapsed="false">
      <c r="A301" s="8" t="n">
        <v>46192</v>
      </c>
      <c r="B301" s="7" t="s">
        <v>161</v>
      </c>
      <c r="C301" s="7" t="s">
        <v>92</v>
      </c>
      <c r="D301" s="7" t="s">
        <v>158</v>
      </c>
      <c r="E301" s="7" t="s">
        <v>159</v>
      </c>
      <c r="F301" s="7" t="s">
        <v>160</v>
      </c>
      <c r="G301" s="7" t="s">
        <v>39</v>
      </c>
      <c r="H301" s="7" t="n">
        <v>50</v>
      </c>
      <c r="I301" s="7" t="n">
        <v>61</v>
      </c>
      <c r="J301" s="7" t="n">
        <v>40</v>
      </c>
      <c r="K301" s="7" t="n">
        <v>105</v>
      </c>
      <c r="L301" s="7" t="n">
        <v>0</v>
      </c>
      <c r="M301" s="22" t="n">
        <v>0</v>
      </c>
      <c r="N301" s="3"/>
      <c r="O301" s="3"/>
      <c r="P301" s="3"/>
    </row>
    <row r="302" customFormat="false" ht="15.75" hidden="false" customHeight="true" outlineLevel="0" collapsed="false">
      <c r="A302" s="8" t="n">
        <v>46192</v>
      </c>
      <c r="B302" s="7" t="s">
        <v>162</v>
      </c>
      <c r="C302" s="7" t="s">
        <v>97</v>
      </c>
      <c r="D302" s="7" t="s">
        <v>158</v>
      </c>
      <c r="E302" s="7" t="s">
        <v>159</v>
      </c>
      <c r="F302" s="7" t="s">
        <v>160</v>
      </c>
      <c r="G302" s="7" t="s">
        <v>39</v>
      </c>
      <c r="H302" s="7" t="n">
        <v>43</v>
      </c>
      <c r="I302" s="7" t="n">
        <v>53</v>
      </c>
      <c r="J302" s="7" t="n">
        <v>31</v>
      </c>
      <c r="K302" s="7" t="n">
        <v>117</v>
      </c>
      <c r="L302" s="7" t="n">
        <v>0</v>
      </c>
      <c r="M302" s="22" t="n">
        <v>0</v>
      </c>
      <c r="N302" s="3"/>
      <c r="O302" s="3"/>
      <c r="P302" s="3"/>
    </row>
    <row r="303" customFormat="false" ht="15.75" hidden="false" customHeight="true" outlineLevel="0" collapsed="false">
      <c r="A303" s="8" t="n">
        <v>46192</v>
      </c>
      <c r="B303" s="7" t="s">
        <v>163</v>
      </c>
      <c r="C303" s="7" t="s">
        <v>97</v>
      </c>
      <c r="D303" s="7" t="s">
        <v>158</v>
      </c>
      <c r="E303" s="7" t="s">
        <v>159</v>
      </c>
      <c r="F303" s="7" t="s">
        <v>165</v>
      </c>
      <c r="G303" s="7" t="s">
        <v>39</v>
      </c>
      <c r="H303" s="7" t="n">
        <v>41</v>
      </c>
      <c r="I303" s="7" t="n">
        <v>50</v>
      </c>
      <c r="J303" s="7" t="n">
        <v>30</v>
      </c>
      <c r="K303" s="7" t="n">
        <v>105</v>
      </c>
      <c r="L303" s="7" t="n">
        <v>0</v>
      </c>
      <c r="M303" s="22" t="n">
        <v>0</v>
      </c>
      <c r="N303" s="3"/>
      <c r="O303" s="3"/>
      <c r="P303" s="3"/>
    </row>
    <row r="304" customFormat="false" ht="15.75" hidden="false" customHeight="true" outlineLevel="0" collapsed="false">
      <c r="A304" s="8" t="n">
        <v>46192</v>
      </c>
      <c r="B304" s="7" t="s">
        <v>164</v>
      </c>
      <c r="C304" s="7" t="s">
        <v>87</v>
      </c>
      <c r="D304" s="7" t="s">
        <v>158</v>
      </c>
      <c r="E304" s="7" t="s">
        <v>159</v>
      </c>
      <c r="F304" s="7" t="s">
        <v>160</v>
      </c>
      <c r="G304" s="7" t="s">
        <v>39</v>
      </c>
      <c r="H304" s="7" t="n">
        <v>39</v>
      </c>
      <c r="I304" s="7" t="n">
        <v>48</v>
      </c>
      <c r="J304" s="7" t="n">
        <v>26</v>
      </c>
      <c r="K304" s="7" t="n">
        <v>63</v>
      </c>
      <c r="L304" s="7" t="n">
        <v>0</v>
      </c>
      <c r="M304" s="22" t="n">
        <v>0</v>
      </c>
      <c r="N304" s="3"/>
      <c r="O304" s="3"/>
      <c r="P304" s="3"/>
    </row>
    <row r="305" customFormat="false" ht="15.75" hidden="false" customHeight="true" outlineLevel="0" collapsed="false">
      <c r="A305" s="8" t="n">
        <v>46192</v>
      </c>
      <c r="B305" s="7" t="s">
        <v>166</v>
      </c>
      <c r="C305" s="7" t="s">
        <v>167</v>
      </c>
      <c r="D305" s="7" t="s">
        <v>158</v>
      </c>
      <c r="E305" s="7" t="s">
        <v>159</v>
      </c>
      <c r="F305" s="7" t="s">
        <v>160</v>
      </c>
      <c r="G305" s="7" t="s">
        <v>39</v>
      </c>
      <c r="H305" s="7" t="n">
        <v>16</v>
      </c>
      <c r="I305" s="7" t="n">
        <v>20</v>
      </c>
      <c r="J305" s="7" t="n">
        <v>11</v>
      </c>
      <c r="K305" s="7" t="n">
        <v>72</v>
      </c>
      <c r="L305" s="7" t="n">
        <v>0</v>
      </c>
      <c r="M305" s="22" t="n">
        <v>0</v>
      </c>
      <c r="N305" s="3"/>
      <c r="O305" s="3"/>
      <c r="P305" s="3"/>
    </row>
    <row r="306" customFormat="false" ht="15.75" hidden="false" customHeight="true" outlineLevel="0" collapsed="false">
      <c r="A306" s="8" t="n">
        <v>46193</v>
      </c>
      <c r="B306" s="7" t="s">
        <v>157</v>
      </c>
      <c r="C306" s="7" t="s">
        <v>92</v>
      </c>
      <c r="D306" s="7" t="s">
        <v>158</v>
      </c>
      <c r="E306" s="7" t="s">
        <v>159</v>
      </c>
      <c r="F306" s="7" t="s">
        <v>160</v>
      </c>
      <c r="G306" s="7" t="s">
        <v>39</v>
      </c>
      <c r="H306" s="7" t="n">
        <v>61</v>
      </c>
      <c r="I306" s="7" t="n">
        <v>74</v>
      </c>
      <c r="J306" s="7" t="n">
        <v>48</v>
      </c>
      <c r="K306" s="7" t="n">
        <v>95</v>
      </c>
      <c r="L306" s="7" t="n">
        <v>0</v>
      </c>
      <c r="M306" s="22" t="n">
        <v>0</v>
      </c>
      <c r="N306" s="3"/>
      <c r="O306" s="3"/>
      <c r="P306" s="3"/>
    </row>
    <row r="307" customFormat="false" ht="15.75" hidden="false" customHeight="true" outlineLevel="0" collapsed="false">
      <c r="A307" s="8" t="n">
        <v>46193</v>
      </c>
      <c r="B307" s="7" t="s">
        <v>161</v>
      </c>
      <c r="C307" s="7" t="s">
        <v>92</v>
      </c>
      <c r="D307" s="7" t="s">
        <v>158</v>
      </c>
      <c r="E307" s="7" t="s">
        <v>159</v>
      </c>
      <c r="F307" s="7" t="s">
        <v>160</v>
      </c>
      <c r="G307" s="7" t="s">
        <v>39</v>
      </c>
      <c r="H307" s="7" t="n">
        <v>54</v>
      </c>
      <c r="I307" s="7" t="n">
        <v>66</v>
      </c>
      <c r="J307" s="7" t="n">
        <v>43</v>
      </c>
      <c r="K307" s="7" t="n">
        <v>86</v>
      </c>
      <c r="L307" s="7" t="n">
        <v>0</v>
      </c>
      <c r="M307" s="22" t="n">
        <v>0</v>
      </c>
      <c r="N307" s="3"/>
      <c r="O307" s="3"/>
      <c r="P307" s="3"/>
    </row>
    <row r="308" customFormat="false" ht="15.75" hidden="false" customHeight="true" outlineLevel="0" collapsed="false">
      <c r="A308" s="8" t="n">
        <v>46193</v>
      </c>
      <c r="B308" s="7" t="s">
        <v>162</v>
      </c>
      <c r="C308" s="7" t="s">
        <v>97</v>
      </c>
      <c r="D308" s="7" t="s">
        <v>158</v>
      </c>
      <c r="E308" s="7" t="s">
        <v>159</v>
      </c>
      <c r="F308" s="7" t="s">
        <v>165</v>
      </c>
      <c r="G308" s="7" t="s">
        <v>39</v>
      </c>
      <c r="H308" s="7" t="n">
        <v>39</v>
      </c>
      <c r="I308" s="7" t="n">
        <v>48</v>
      </c>
      <c r="J308" s="7" t="n">
        <v>28</v>
      </c>
      <c r="K308" s="7" t="n">
        <v>122</v>
      </c>
      <c r="L308" s="7" t="n">
        <v>0</v>
      </c>
      <c r="M308" s="22" t="n">
        <v>0</v>
      </c>
      <c r="N308" s="3"/>
      <c r="O308" s="3"/>
      <c r="P308" s="3"/>
    </row>
    <row r="309" customFormat="false" ht="15.75" hidden="false" customHeight="true" outlineLevel="0" collapsed="false">
      <c r="A309" s="8" t="n">
        <v>46193</v>
      </c>
      <c r="B309" s="7" t="s">
        <v>163</v>
      </c>
      <c r="C309" s="7" t="s">
        <v>97</v>
      </c>
      <c r="D309" s="7" t="s">
        <v>158</v>
      </c>
      <c r="E309" s="7" t="s">
        <v>159</v>
      </c>
      <c r="F309" s="7" t="s">
        <v>160</v>
      </c>
      <c r="G309" s="7" t="s">
        <v>39</v>
      </c>
      <c r="H309" s="7" t="n">
        <v>47</v>
      </c>
      <c r="I309" s="7" t="n">
        <v>57</v>
      </c>
      <c r="J309" s="7" t="n">
        <v>34</v>
      </c>
      <c r="K309" s="7" t="n">
        <v>105</v>
      </c>
      <c r="L309" s="7" t="n">
        <v>0</v>
      </c>
      <c r="M309" s="22" t="n">
        <v>0</v>
      </c>
      <c r="N309" s="3"/>
      <c r="O309" s="3"/>
      <c r="P309" s="3"/>
    </row>
    <row r="310" customFormat="false" ht="15.75" hidden="false" customHeight="true" outlineLevel="0" collapsed="false">
      <c r="A310" s="8" t="n">
        <v>46193</v>
      </c>
      <c r="B310" s="7" t="s">
        <v>164</v>
      </c>
      <c r="C310" s="7" t="s">
        <v>87</v>
      </c>
      <c r="D310" s="7" t="s">
        <v>158</v>
      </c>
      <c r="E310" s="7" t="s">
        <v>159</v>
      </c>
      <c r="F310" s="7" t="s">
        <v>160</v>
      </c>
      <c r="G310" s="7" t="s">
        <v>39</v>
      </c>
      <c r="H310" s="7" t="n">
        <v>39</v>
      </c>
      <c r="I310" s="7" t="n">
        <v>48</v>
      </c>
      <c r="J310" s="7" t="n">
        <v>26</v>
      </c>
      <c r="K310" s="7" t="n">
        <v>67</v>
      </c>
      <c r="L310" s="7" t="n">
        <v>0</v>
      </c>
      <c r="M310" s="22" t="n">
        <v>0</v>
      </c>
      <c r="N310" s="3"/>
      <c r="O310" s="3"/>
      <c r="P310" s="3"/>
    </row>
    <row r="311" customFormat="false" ht="15.75" hidden="false" customHeight="true" outlineLevel="0" collapsed="false">
      <c r="A311" s="8" t="n">
        <v>46193</v>
      </c>
      <c r="B311" s="7" t="s">
        <v>166</v>
      </c>
      <c r="C311" s="7" t="s">
        <v>167</v>
      </c>
      <c r="D311" s="7" t="s">
        <v>158</v>
      </c>
      <c r="E311" s="7" t="s">
        <v>159</v>
      </c>
      <c r="F311" s="7" t="s">
        <v>165</v>
      </c>
      <c r="G311" s="7" t="s">
        <v>39</v>
      </c>
      <c r="H311" s="7" t="n">
        <v>21</v>
      </c>
      <c r="I311" s="7" t="n">
        <v>26</v>
      </c>
      <c r="J311" s="7" t="n">
        <v>14</v>
      </c>
      <c r="K311" s="7" t="n">
        <v>85</v>
      </c>
      <c r="L311" s="7" t="n">
        <v>0</v>
      </c>
      <c r="M311" s="22" t="n">
        <v>0</v>
      </c>
      <c r="N311" s="3"/>
      <c r="O311" s="3"/>
      <c r="P311" s="3"/>
    </row>
    <row r="312" customFormat="false" ht="15.75" hidden="false" customHeight="true" outlineLevel="0" collapsed="false">
      <c r="A312" s="8" t="n">
        <v>46194</v>
      </c>
      <c r="B312" s="7" t="s">
        <v>157</v>
      </c>
      <c r="C312" s="7" t="s">
        <v>92</v>
      </c>
      <c r="D312" s="7" t="s">
        <v>158</v>
      </c>
      <c r="E312" s="7" t="s">
        <v>159</v>
      </c>
      <c r="F312" s="7" t="s">
        <v>160</v>
      </c>
      <c r="G312" s="7" t="s">
        <v>39</v>
      </c>
      <c r="H312" s="7" t="n">
        <v>52</v>
      </c>
      <c r="I312" s="7" t="n">
        <v>63</v>
      </c>
      <c r="J312" s="7" t="n">
        <v>41</v>
      </c>
      <c r="K312" s="7" t="n">
        <v>101</v>
      </c>
      <c r="L312" s="7" t="n">
        <v>0</v>
      </c>
      <c r="M312" s="22" t="n">
        <v>0</v>
      </c>
      <c r="N312" s="3"/>
      <c r="O312" s="3"/>
      <c r="P312" s="3"/>
    </row>
    <row r="313" customFormat="false" ht="15.75" hidden="false" customHeight="true" outlineLevel="0" collapsed="false">
      <c r="A313" s="8" t="n">
        <v>46194</v>
      </c>
      <c r="B313" s="7" t="s">
        <v>161</v>
      </c>
      <c r="C313" s="7" t="s">
        <v>92</v>
      </c>
      <c r="D313" s="7" t="s">
        <v>158</v>
      </c>
      <c r="E313" s="7" t="s">
        <v>159</v>
      </c>
      <c r="F313" s="7" t="s">
        <v>160</v>
      </c>
      <c r="G313" s="7" t="s">
        <v>39</v>
      </c>
      <c r="H313" s="7" t="n">
        <v>52</v>
      </c>
      <c r="I313" s="7" t="n">
        <v>63</v>
      </c>
      <c r="J313" s="7" t="n">
        <v>41</v>
      </c>
      <c r="K313" s="7" t="n">
        <v>107</v>
      </c>
      <c r="L313" s="7" t="n">
        <v>0</v>
      </c>
      <c r="M313" s="22" t="n">
        <v>0</v>
      </c>
      <c r="N313" s="3"/>
      <c r="O313" s="3"/>
      <c r="P313" s="3"/>
    </row>
    <row r="314" customFormat="false" ht="15.75" hidden="false" customHeight="true" outlineLevel="0" collapsed="false">
      <c r="A314" s="8" t="n">
        <v>46194</v>
      </c>
      <c r="B314" s="7" t="s">
        <v>162</v>
      </c>
      <c r="C314" s="7" t="s">
        <v>97</v>
      </c>
      <c r="D314" s="7" t="s">
        <v>158</v>
      </c>
      <c r="E314" s="7" t="s">
        <v>159</v>
      </c>
      <c r="F314" s="7" t="s">
        <v>160</v>
      </c>
      <c r="G314" s="7" t="s">
        <v>39</v>
      </c>
      <c r="H314" s="7" t="n">
        <v>45</v>
      </c>
      <c r="I314" s="7" t="n">
        <v>55</v>
      </c>
      <c r="J314" s="7" t="n">
        <v>33</v>
      </c>
      <c r="K314" s="7" t="n">
        <v>116</v>
      </c>
      <c r="L314" s="7" t="n">
        <v>0</v>
      </c>
      <c r="M314" s="22" t="n">
        <v>0</v>
      </c>
      <c r="N314" s="3"/>
      <c r="O314" s="3"/>
      <c r="P314" s="3"/>
    </row>
    <row r="315" customFormat="false" ht="15.75" hidden="false" customHeight="true" outlineLevel="0" collapsed="false">
      <c r="A315" s="8" t="n">
        <v>46194</v>
      </c>
      <c r="B315" s="7" t="s">
        <v>163</v>
      </c>
      <c r="C315" s="7" t="s">
        <v>97</v>
      </c>
      <c r="D315" s="7" t="s">
        <v>158</v>
      </c>
      <c r="E315" s="7" t="s">
        <v>159</v>
      </c>
      <c r="F315" s="7" t="s">
        <v>160</v>
      </c>
      <c r="G315" s="7" t="s">
        <v>39</v>
      </c>
      <c r="H315" s="7" t="n">
        <v>41</v>
      </c>
      <c r="I315" s="7" t="n">
        <v>50</v>
      </c>
      <c r="J315" s="7" t="n">
        <v>30</v>
      </c>
      <c r="K315" s="7" t="n">
        <v>100</v>
      </c>
      <c r="L315" s="7" t="n">
        <v>0</v>
      </c>
      <c r="M315" s="22" t="n">
        <v>0</v>
      </c>
      <c r="N315" s="3"/>
      <c r="O315" s="3"/>
      <c r="P315" s="3"/>
    </row>
    <row r="316" customFormat="false" ht="15.75" hidden="false" customHeight="true" outlineLevel="0" collapsed="false">
      <c r="A316" s="8" t="n">
        <v>46194</v>
      </c>
      <c r="B316" s="7" t="s">
        <v>164</v>
      </c>
      <c r="C316" s="7" t="s">
        <v>87</v>
      </c>
      <c r="D316" s="7" t="s">
        <v>158</v>
      </c>
      <c r="E316" s="7" t="s">
        <v>159</v>
      </c>
      <c r="F316" s="7" t="s">
        <v>160</v>
      </c>
      <c r="G316" s="7" t="s">
        <v>39</v>
      </c>
      <c r="H316" s="7" t="n">
        <v>29</v>
      </c>
      <c r="I316" s="7" t="n">
        <v>35</v>
      </c>
      <c r="J316" s="7" t="n">
        <v>19</v>
      </c>
      <c r="K316" s="7" t="n">
        <v>77</v>
      </c>
      <c r="L316" s="7" t="n">
        <v>0</v>
      </c>
      <c r="M316" s="22" t="n">
        <v>0</v>
      </c>
      <c r="N316" s="3"/>
      <c r="O316" s="3"/>
      <c r="P316" s="3"/>
    </row>
    <row r="317" customFormat="false" ht="15.75" hidden="false" customHeight="true" outlineLevel="0" collapsed="false">
      <c r="A317" s="8" t="n">
        <v>46194</v>
      </c>
      <c r="B317" s="7" t="s">
        <v>166</v>
      </c>
      <c r="C317" s="7" t="s">
        <v>167</v>
      </c>
      <c r="D317" s="7" t="s">
        <v>158</v>
      </c>
      <c r="E317" s="7" t="s">
        <v>159</v>
      </c>
      <c r="F317" s="7" t="s">
        <v>160</v>
      </c>
      <c r="G317" s="7" t="s">
        <v>39</v>
      </c>
      <c r="H317" s="7" t="n">
        <v>23</v>
      </c>
      <c r="I317" s="7" t="n">
        <v>28</v>
      </c>
      <c r="J317" s="7" t="n">
        <v>15</v>
      </c>
      <c r="K317" s="7" t="n">
        <v>80</v>
      </c>
      <c r="L317" s="7" t="n">
        <v>0</v>
      </c>
      <c r="M317" s="22" t="n">
        <v>0</v>
      </c>
      <c r="N317" s="3"/>
      <c r="O317" s="3"/>
      <c r="P317" s="3"/>
    </row>
    <row r="318" customFormat="false" ht="15.75" hidden="false" customHeight="true" outlineLevel="0" collapsed="false">
      <c r="A318" s="8" t="n">
        <v>46195</v>
      </c>
      <c r="B318" s="7" t="s">
        <v>157</v>
      </c>
      <c r="C318" s="7" t="s">
        <v>92</v>
      </c>
      <c r="D318" s="7" t="s">
        <v>158</v>
      </c>
      <c r="E318" s="7" t="s">
        <v>159</v>
      </c>
      <c r="F318" s="7" t="s">
        <v>165</v>
      </c>
      <c r="G318" s="7" t="s">
        <v>39</v>
      </c>
      <c r="H318" s="7" t="n">
        <v>61</v>
      </c>
      <c r="I318" s="7" t="n">
        <v>74</v>
      </c>
      <c r="J318" s="7" t="n">
        <v>48</v>
      </c>
      <c r="K318" s="7" t="n">
        <v>91</v>
      </c>
      <c r="L318" s="7" t="n">
        <v>0</v>
      </c>
      <c r="M318" s="22" t="n">
        <v>0</v>
      </c>
      <c r="N318" s="3"/>
      <c r="O318" s="3"/>
      <c r="P318" s="3"/>
    </row>
    <row r="319" customFormat="false" ht="15.75" hidden="false" customHeight="true" outlineLevel="0" collapsed="false">
      <c r="A319" s="8" t="n">
        <v>46195</v>
      </c>
      <c r="B319" s="7" t="s">
        <v>161</v>
      </c>
      <c r="C319" s="7" t="s">
        <v>92</v>
      </c>
      <c r="D319" s="7" t="s">
        <v>158</v>
      </c>
      <c r="E319" s="7" t="s">
        <v>159</v>
      </c>
      <c r="F319" s="7" t="s">
        <v>160</v>
      </c>
      <c r="G319" s="7" t="s">
        <v>39</v>
      </c>
      <c r="H319" s="7" t="n">
        <v>55</v>
      </c>
      <c r="I319" s="7" t="n">
        <v>67</v>
      </c>
      <c r="J319" s="7" t="n">
        <v>44</v>
      </c>
      <c r="K319" s="7" t="n">
        <v>102</v>
      </c>
      <c r="L319" s="7" t="n">
        <v>0</v>
      </c>
      <c r="M319" s="22" t="n">
        <v>0</v>
      </c>
      <c r="N319" s="3"/>
      <c r="O319" s="3"/>
      <c r="P319" s="3"/>
    </row>
    <row r="320" customFormat="false" ht="15.75" hidden="false" customHeight="true" outlineLevel="0" collapsed="false">
      <c r="A320" s="8" t="n">
        <v>46195</v>
      </c>
      <c r="B320" s="7" t="s">
        <v>162</v>
      </c>
      <c r="C320" s="7" t="s">
        <v>97</v>
      </c>
      <c r="D320" s="7" t="s">
        <v>158</v>
      </c>
      <c r="E320" s="7" t="s">
        <v>159</v>
      </c>
      <c r="F320" s="7" t="s">
        <v>165</v>
      </c>
      <c r="G320" s="7" t="s">
        <v>39</v>
      </c>
      <c r="H320" s="7" t="n">
        <v>33</v>
      </c>
      <c r="I320" s="7" t="n">
        <v>40</v>
      </c>
      <c r="J320" s="7" t="n">
        <v>24</v>
      </c>
      <c r="K320" s="7" t="n">
        <v>107</v>
      </c>
      <c r="L320" s="7" t="n">
        <v>0</v>
      </c>
      <c r="M320" s="22" t="n">
        <v>0</v>
      </c>
      <c r="N320" s="3"/>
      <c r="O320" s="3"/>
      <c r="P320" s="3"/>
    </row>
    <row r="321" customFormat="false" ht="15.75" hidden="false" customHeight="true" outlineLevel="0" collapsed="false">
      <c r="A321" s="8" t="n">
        <v>46195</v>
      </c>
      <c r="B321" s="7" t="s">
        <v>163</v>
      </c>
      <c r="C321" s="7" t="s">
        <v>97</v>
      </c>
      <c r="D321" s="7" t="s">
        <v>158</v>
      </c>
      <c r="E321" s="7" t="s">
        <v>159</v>
      </c>
      <c r="F321" s="7" t="s">
        <v>160</v>
      </c>
      <c r="G321" s="7" t="s">
        <v>39</v>
      </c>
      <c r="H321" s="7" t="n">
        <v>39</v>
      </c>
      <c r="I321" s="7" t="n">
        <v>47</v>
      </c>
      <c r="J321" s="7" t="n">
        <v>28</v>
      </c>
      <c r="K321" s="7" t="n">
        <v>122</v>
      </c>
      <c r="L321" s="7" t="n">
        <v>0</v>
      </c>
      <c r="M321" s="22" t="n">
        <v>0</v>
      </c>
      <c r="N321" s="3"/>
      <c r="O321" s="3"/>
      <c r="P321" s="3"/>
    </row>
    <row r="322" customFormat="false" ht="15.75" hidden="false" customHeight="true" outlineLevel="0" collapsed="false">
      <c r="A322" s="8" t="n">
        <v>46195</v>
      </c>
      <c r="B322" s="7" t="s">
        <v>164</v>
      </c>
      <c r="C322" s="7" t="s">
        <v>87</v>
      </c>
      <c r="D322" s="7" t="s">
        <v>158</v>
      </c>
      <c r="E322" s="7" t="s">
        <v>159</v>
      </c>
      <c r="F322" s="7" t="s">
        <v>160</v>
      </c>
      <c r="G322" s="7" t="s">
        <v>39</v>
      </c>
      <c r="H322" s="7" t="n">
        <v>30</v>
      </c>
      <c r="I322" s="7" t="n">
        <v>37</v>
      </c>
      <c r="J322" s="7" t="n">
        <v>20</v>
      </c>
      <c r="K322" s="7" t="n">
        <v>68</v>
      </c>
      <c r="L322" s="7" t="n">
        <v>0</v>
      </c>
      <c r="M322" s="22" t="n">
        <v>0</v>
      </c>
      <c r="N322" s="3"/>
      <c r="O322" s="3"/>
      <c r="P322" s="3"/>
    </row>
    <row r="323" customFormat="false" ht="15.75" hidden="false" customHeight="true" outlineLevel="0" collapsed="false">
      <c r="A323" s="8" t="n">
        <v>46195</v>
      </c>
      <c r="B323" s="7" t="s">
        <v>166</v>
      </c>
      <c r="C323" s="7" t="s">
        <v>167</v>
      </c>
      <c r="D323" s="7" t="s">
        <v>158</v>
      </c>
      <c r="E323" s="7" t="s">
        <v>159</v>
      </c>
      <c r="F323" s="7" t="s">
        <v>160</v>
      </c>
      <c r="G323" s="7" t="s">
        <v>39</v>
      </c>
      <c r="H323" s="7" t="n">
        <v>9</v>
      </c>
      <c r="I323" s="7" t="n">
        <v>12</v>
      </c>
      <c r="J323" s="7" t="n">
        <v>6</v>
      </c>
      <c r="K323" s="7" t="n">
        <v>77</v>
      </c>
      <c r="L323" s="7" t="n">
        <v>0</v>
      </c>
      <c r="M323" s="22" t="n">
        <v>0</v>
      </c>
      <c r="N323" s="3"/>
      <c r="O323" s="3"/>
      <c r="P323" s="3"/>
    </row>
    <row r="324" customFormat="false" ht="15.75" hidden="false" customHeight="true" outlineLevel="0" collapsed="false">
      <c r="A324" s="8" t="n">
        <v>46196</v>
      </c>
      <c r="B324" s="7" t="s">
        <v>157</v>
      </c>
      <c r="C324" s="7" t="s">
        <v>92</v>
      </c>
      <c r="D324" s="7" t="s">
        <v>158</v>
      </c>
      <c r="E324" s="7" t="s">
        <v>159</v>
      </c>
      <c r="F324" s="7" t="s">
        <v>160</v>
      </c>
      <c r="G324" s="7" t="s">
        <v>39</v>
      </c>
      <c r="H324" s="7" t="n">
        <v>50</v>
      </c>
      <c r="I324" s="7" t="n">
        <v>61</v>
      </c>
      <c r="J324" s="7" t="n">
        <v>40</v>
      </c>
      <c r="K324" s="7" t="n">
        <v>92</v>
      </c>
      <c r="L324" s="7" t="n">
        <v>0</v>
      </c>
      <c r="M324" s="22" t="n">
        <v>0</v>
      </c>
      <c r="N324" s="3"/>
      <c r="O324" s="3"/>
      <c r="P324" s="3"/>
    </row>
    <row r="325" customFormat="false" ht="15.75" hidden="false" customHeight="true" outlineLevel="0" collapsed="false">
      <c r="A325" s="8" t="n">
        <v>46196</v>
      </c>
      <c r="B325" s="7" t="s">
        <v>161</v>
      </c>
      <c r="C325" s="7" t="s">
        <v>92</v>
      </c>
      <c r="D325" s="7" t="s">
        <v>158</v>
      </c>
      <c r="E325" s="7" t="s">
        <v>159</v>
      </c>
      <c r="F325" s="7" t="s">
        <v>160</v>
      </c>
      <c r="G325" s="7" t="s">
        <v>39</v>
      </c>
      <c r="H325" s="7" t="n">
        <v>57</v>
      </c>
      <c r="I325" s="7" t="n">
        <v>69</v>
      </c>
      <c r="J325" s="7" t="n">
        <v>45</v>
      </c>
      <c r="K325" s="7" t="n">
        <v>102</v>
      </c>
      <c r="L325" s="7" t="n">
        <v>0</v>
      </c>
      <c r="M325" s="22" t="n">
        <v>0</v>
      </c>
      <c r="N325" s="3"/>
      <c r="O325" s="3"/>
      <c r="P325" s="3"/>
    </row>
    <row r="326" customFormat="false" ht="15.75" hidden="false" customHeight="true" outlineLevel="0" collapsed="false">
      <c r="A326" s="8" t="n">
        <v>46196</v>
      </c>
      <c r="B326" s="7" t="s">
        <v>162</v>
      </c>
      <c r="C326" s="7" t="s">
        <v>97</v>
      </c>
      <c r="D326" s="7" t="s">
        <v>158</v>
      </c>
      <c r="E326" s="7" t="s">
        <v>159</v>
      </c>
      <c r="F326" s="7" t="s">
        <v>160</v>
      </c>
      <c r="G326" s="7" t="s">
        <v>39</v>
      </c>
      <c r="H326" s="7" t="n">
        <v>33</v>
      </c>
      <c r="I326" s="7" t="n">
        <v>40</v>
      </c>
      <c r="J326" s="7" t="n">
        <v>24</v>
      </c>
      <c r="K326" s="7" t="n">
        <v>103</v>
      </c>
      <c r="L326" s="7" t="n">
        <v>0</v>
      </c>
      <c r="M326" s="22" t="n">
        <v>0</v>
      </c>
      <c r="N326" s="3"/>
      <c r="O326" s="3"/>
      <c r="P326" s="3"/>
    </row>
    <row r="327" customFormat="false" ht="15.75" hidden="false" customHeight="true" outlineLevel="0" collapsed="false">
      <c r="A327" s="8" t="n">
        <v>46196</v>
      </c>
      <c r="B327" s="7" t="s">
        <v>163</v>
      </c>
      <c r="C327" s="7" t="s">
        <v>97</v>
      </c>
      <c r="D327" s="7" t="s">
        <v>158</v>
      </c>
      <c r="E327" s="7" t="s">
        <v>159</v>
      </c>
      <c r="F327" s="7" t="s">
        <v>160</v>
      </c>
      <c r="G327" s="7" t="s">
        <v>39</v>
      </c>
      <c r="H327" s="7" t="n">
        <v>34</v>
      </c>
      <c r="I327" s="7" t="n">
        <v>41</v>
      </c>
      <c r="J327" s="7" t="n">
        <v>24</v>
      </c>
      <c r="K327" s="7" t="n">
        <v>102</v>
      </c>
      <c r="L327" s="7" t="n">
        <v>0</v>
      </c>
      <c r="M327" s="22" t="n">
        <v>0</v>
      </c>
      <c r="N327" s="3"/>
      <c r="O327" s="3"/>
      <c r="P327" s="3"/>
    </row>
    <row r="328" customFormat="false" ht="15.75" hidden="false" customHeight="true" outlineLevel="0" collapsed="false">
      <c r="A328" s="8" t="n">
        <v>46196</v>
      </c>
      <c r="B328" s="7" t="s">
        <v>164</v>
      </c>
      <c r="C328" s="7" t="s">
        <v>87</v>
      </c>
      <c r="D328" s="7" t="s">
        <v>158</v>
      </c>
      <c r="E328" s="7" t="s">
        <v>159</v>
      </c>
      <c r="F328" s="7" t="s">
        <v>160</v>
      </c>
      <c r="G328" s="7" t="s">
        <v>39</v>
      </c>
      <c r="H328" s="7" t="n">
        <v>41</v>
      </c>
      <c r="I328" s="7" t="n">
        <v>50</v>
      </c>
      <c r="J328" s="7" t="n">
        <v>28</v>
      </c>
      <c r="K328" s="7" t="n">
        <v>75</v>
      </c>
      <c r="L328" s="7" t="n">
        <v>0</v>
      </c>
      <c r="M328" s="22" t="n">
        <v>0</v>
      </c>
      <c r="N328" s="3"/>
      <c r="O328" s="3"/>
      <c r="P328" s="3"/>
    </row>
    <row r="329" customFormat="false" ht="15.75" hidden="false" customHeight="true" outlineLevel="0" collapsed="false">
      <c r="A329" s="8" t="n">
        <v>46196</v>
      </c>
      <c r="B329" s="7" t="s">
        <v>166</v>
      </c>
      <c r="C329" s="7" t="s">
        <v>167</v>
      </c>
      <c r="D329" s="7" t="s">
        <v>158</v>
      </c>
      <c r="E329" s="7" t="s">
        <v>159</v>
      </c>
      <c r="F329" s="7" t="s">
        <v>160</v>
      </c>
      <c r="G329" s="7" t="s">
        <v>39</v>
      </c>
      <c r="H329" s="7" t="n">
        <v>11</v>
      </c>
      <c r="I329" s="7" t="n">
        <v>14</v>
      </c>
      <c r="J329" s="7" t="n">
        <v>7</v>
      </c>
      <c r="K329" s="7" t="n">
        <v>71</v>
      </c>
      <c r="L329" s="7" t="n">
        <v>0</v>
      </c>
      <c r="M329" s="22" t="n">
        <v>0</v>
      </c>
      <c r="N329" s="3"/>
      <c r="O329" s="3"/>
      <c r="P329" s="3"/>
    </row>
    <row r="330" customFormat="false" ht="15.75" hidden="false" customHeight="true" outlineLevel="0" collapsed="false">
      <c r="A330" s="8" t="n">
        <v>46197</v>
      </c>
      <c r="B330" s="7" t="s">
        <v>157</v>
      </c>
      <c r="C330" s="7" t="s">
        <v>92</v>
      </c>
      <c r="D330" s="7" t="s">
        <v>158</v>
      </c>
      <c r="E330" s="7" t="s">
        <v>159</v>
      </c>
      <c r="F330" s="7" t="s">
        <v>165</v>
      </c>
      <c r="G330" s="7" t="s">
        <v>39</v>
      </c>
      <c r="H330" s="7" t="n">
        <v>55</v>
      </c>
      <c r="I330" s="7" t="n">
        <v>67</v>
      </c>
      <c r="J330" s="7" t="n">
        <v>44</v>
      </c>
      <c r="K330" s="7" t="n">
        <v>84</v>
      </c>
      <c r="L330" s="7" t="n">
        <v>0</v>
      </c>
      <c r="M330" s="22" t="n">
        <v>0</v>
      </c>
      <c r="N330" s="3"/>
      <c r="O330" s="3"/>
      <c r="P330" s="3"/>
    </row>
    <row r="331" customFormat="false" ht="15.75" hidden="false" customHeight="true" outlineLevel="0" collapsed="false">
      <c r="A331" s="8" t="n">
        <v>46197</v>
      </c>
      <c r="B331" s="7" t="s">
        <v>161</v>
      </c>
      <c r="C331" s="7" t="s">
        <v>92</v>
      </c>
      <c r="D331" s="7" t="s">
        <v>158</v>
      </c>
      <c r="E331" s="7" t="s">
        <v>159</v>
      </c>
      <c r="F331" s="7" t="s">
        <v>160</v>
      </c>
      <c r="G331" s="7" t="s">
        <v>39</v>
      </c>
      <c r="H331" s="7" t="n">
        <v>50</v>
      </c>
      <c r="I331" s="7" t="n">
        <v>61</v>
      </c>
      <c r="J331" s="7" t="n">
        <v>40</v>
      </c>
      <c r="K331" s="7" t="n">
        <v>95</v>
      </c>
      <c r="L331" s="7" t="n">
        <v>0</v>
      </c>
      <c r="M331" s="22" t="n">
        <v>0</v>
      </c>
      <c r="N331" s="3"/>
      <c r="O331" s="3"/>
      <c r="P331" s="3"/>
    </row>
    <row r="332" customFormat="false" ht="15.75" hidden="false" customHeight="true" outlineLevel="0" collapsed="false">
      <c r="A332" s="8" t="n">
        <v>46197</v>
      </c>
      <c r="B332" s="7" t="s">
        <v>162</v>
      </c>
      <c r="C332" s="7" t="s">
        <v>97</v>
      </c>
      <c r="D332" s="7" t="s">
        <v>158</v>
      </c>
      <c r="E332" s="7" t="s">
        <v>159</v>
      </c>
      <c r="F332" s="7" t="s">
        <v>165</v>
      </c>
      <c r="G332" s="7" t="s">
        <v>39</v>
      </c>
      <c r="H332" s="7" t="n">
        <v>45</v>
      </c>
      <c r="I332" s="7" t="n">
        <v>55</v>
      </c>
      <c r="J332" s="7" t="n">
        <v>33</v>
      </c>
      <c r="K332" s="7" t="n">
        <v>109</v>
      </c>
      <c r="L332" s="7" t="n">
        <v>0</v>
      </c>
      <c r="M332" s="22" t="n">
        <v>0</v>
      </c>
      <c r="N332" s="3"/>
      <c r="O332" s="3"/>
      <c r="P332" s="3"/>
    </row>
    <row r="333" customFormat="false" ht="15.75" hidden="false" customHeight="true" outlineLevel="0" collapsed="false">
      <c r="A333" s="8" t="n">
        <v>46197</v>
      </c>
      <c r="B333" s="7" t="s">
        <v>163</v>
      </c>
      <c r="C333" s="7" t="s">
        <v>97</v>
      </c>
      <c r="D333" s="7" t="s">
        <v>158</v>
      </c>
      <c r="E333" s="7" t="s">
        <v>159</v>
      </c>
      <c r="F333" s="7" t="s">
        <v>160</v>
      </c>
      <c r="G333" s="7" t="s">
        <v>39</v>
      </c>
      <c r="H333" s="7" t="n">
        <v>48</v>
      </c>
      <c r="I333" s="7" t="n">
        <v>58</v>
      </c>
      <c r="J333" s="7" t="n">
        <v>34</v>
      </c>
      <c r="K333" s="7" t="n">
        <v>122</v>
      </c>
      <c r="L333" s="7" t="n">
        <v>0</v>
      </c>
      <c r="M333" s="22" t="n">
        <v>0</v>
      </c>
      <c r="N333" s="3"/>
      <c r="O333" s="3"/>
      <c r="P333" s="3"/>
    </row>
    <row r="334" customFormat="false" ht="15.75" hidden="false" customHeight="true" outlineLevel="0" collapsed="false">
      <c r="A334" s="8" t="n">
        <v>46197</v>
      </c>
      <c r="B334" s="7" t="s">
        <v>164</v>
      </c>
      <c r="C334" s="7" t="s">
        <v>87</v>
      </c>
      <c r="D334" s="7" t="s">
        <v>158</v>
      </c>
      <c r="E334" s="7" t="s">
        <v>159</v>
      </c>
      <c r="F334" s="7" t="s">
        <v>165</v>
      </c>
      <c r="G334" s="7" t="s">
        <v>39</v>
      </c>
      <c r="H334" s="7" t="n">
        <v>39</v>
      </c>
      <c r="I334" s="7" t="n">
        <v>47</v>
      </c>
      <c r="J334" s="7" t="n">
        <v>26</v>
      </c>
      <c r="K334" s="7" t="n">
        <v>77</v>
      </c>
      <c r="L334" s="7" t="n">
        <v>0</v>
      </c>
      <c r="M334" s="22" t="n">
        <v>0</v>
      </c>
      <c r="N334" s="3"/>
      <c r="O334" s="3"/>
      <c r="P334" s="3"/>
    </row>
    <row r="335" customFormat="false" ht="15.75" hidden="false" customHeight="true" outlineLevel="0" collapsed="false">
      <c r="A335" s="8" t="n">
        <v>46197</v>
      </c>
      <c r="B335" s="7" t="s">
        <v>166</v>
      </c>
      <c r="C335" s="7" t="s">
        <v>167</v>
      </c>
      <c r="D335" s="7" t="s">
        <v>158</v>
      </c>
      <c r="E335" s="7" t="s">
        <v>159</v>
      </c>
      <c r="F335" s="7" t="s">
        <v>160</v>
      </c>
      <c r="G335" s="7" t="s">
        <v>39</v>
      </c>
      <c r="H335" s="7" t="n">
        <v>19</v>
      </c>
      <c r="I335" s="7" t="n">
        <v>23</v>
      </c>
      <c r="J335" s="7" t="n">
        <v>12</v>
      </c>
      <c r="K335" s="7" t="n">
        <v>76</v>
      </c>
      <c r="L335" s="7" t="n">
        <v>0</v>
      </c>
      <c r="M335" s="22" t="n">
        <v>0</v>
      </c>
      <c r="N335" s="3"/>
      <c r="O335" s="3"/>
      <c r="P335" s="3"/>
    </row>
    <row r="336" customFormat="false" ht="15.75" hidden="false" customHeight="true" outlineLevel="0" collapsed="false">
      <c r="A336" s="8" t="n">
        <v>46198</v>
      </c>
      <c r="B336" s="7" t="s">
        <v>157</v>
      </c>
      <c r="C336" s="7" t="s">
        <v>92</v>
      </c>
      <c r="D336" s="7" t="s">
        <v>158</v>
      </c>
      <c r="E336" s="7" t="s">
        <v>159</v>
      </c>
      <c r="F336" s="7" t="s">
        <v>160</v>
      </c>
      <c r="G336" s="7" t="s">
        <v>39</v>
      </c>
      <c r="H336" s="7" t="n">
        <v>60</v>
      </c>
      <c r="I336" s="7" t="n">
        <v>73</v>
      </c>
      <c r="J336" s="7" t="n">
        <v>48</v>
      </c>
      <c r="K336" s="7" t="n">
        <v>93</v>
      </c>
      <c r="L336" s="7" t="n">
        <v>0</v>
      </c>
      <c r="M336" s="22" t="n">
        <v>0</v>
      </c>
      <c r="N336" s="3"/>
      <c r="O336" s="3"/>
      <c r="P336" s="3"/>
    </row>
    <row r="337" customFormat="false" ht="15.75" hidden="false" customHeight="true" outlineLevel="0" collapsed="false">
      <c r="A337" s="8" t="n">
        <v>46198</v>
      </c>
      <c r="B337" s="7" t="s">
        <v>161</v>
      </c>
      <c r="C337" s="7" t="s">
        <v>92</v>
      </c>
      <c r="D337" s="7" t="s">
        <v>158</v>
      </c>
      <c r="E337" s="7" t="s">
        <v>159</v>
      </c>
      <c r="F337" s="7" t="s">
        <v>165</v>
      </c>
      <c r="G337" s="7" t="s">
        <v>39</v>
      </c>
      <c r="H337" s="7" t="n">
        <v>58</v>
      </c>
      <c r="I337" s="7" t="n">
        <v>70</v>
      </c>
      <c r="J337" s="7" t="n">
        <v>46</v>
      </c>
      <c r="K337" s="7" t="n">
        <v>83</v>
      </c>
      <c r="L337" s="7" t="n">
        <v>0</v>
      </c>
      <c r="M337" s="22" t="n">
        <v>0</v>
      </c>
      <c r="N337" s="3"/>
      <c r="O337" s="3"/>
      <c r="P337" s="3"/>
    </row>
    <row r="338" customFormat="false" ht="15.75" hidden="false" customHeight="true" outlineLevel="0" collapsed="false">
      <c r="A338" s="8" t="n">
        <v>46198</v>
      </c>
      <c r="B338" s="7" t="s">
        <v>162</v>
      </c>
      <c r="C338" s="7" t="s">
        <v>97</v>
      </c>
      <c r="D338" s="7" t="s">
        <v>158</v>
      </c>
      <c r="E338" s="7" t="s">
        <v>159</v>
      </c>
      <c r="F338" s="7" t="s">
        <v>165</v>
      </c>
      <c r="G338" s="7" t="s">
        <v>39</v>
      </c>
      <c r="H338" s="7" t="n">
        <v>40</v>
      </c>
      <c r="I338" s="7" t="n">
        <v>49</v>
      </c>
      <c r="J338" s="7" t="n">
        <v>29</v>
      </c>
      <c r="K338" s="7" t="n">
        <v>121</v>
      </c>
      <c r="L338" s="7" t="n">
        <v>0</v>
      </c>
      <c r="M338" s="22" t="n">
        <v>0</v>
      </c>
      <c r="N338" s="3"/>
      <c r="O338" s="3"/>
      <c r="P338" s="3"/>
    </row>
    <row r="339" customFormat="false" ht="15.75" hidden="false" customHeight="true" outlineLevel="0" collapsed="false">
      <c r="A339" s="8" t="n">
        <v>46198</v>
      </c>
      <c r="B339" s="7" t="s">
        <v>163</v>
      </c>
      <c r="C339" s="7" t="s">
        <v>97</v>
      </c>
      <c r="D339" s="7" t="s">
        <v>158</v>
      </c>
      <c r="E339" s="7" t="s">
        <v>159</v>
      </c>
      <c r="F339" s="7" t="s">
        <v>160</v>
      </c>
      <c r="G339" s="7" t="s">
        <v>39</v>
      </c>
      <c r="H339" s="7" t="n">
        <v>43</v>
      </c>
      <c r="I339" s="7" t="n">
        <v>52</v>
      </c>
      <c r="J339" s="7" t="n">
        <v>31</v>
      </c>
      <c r="K339" s="7" t="n">
        <v>117</v>
      </c>
      <c r="L339" s="7" t="n">
        <v>0</v>
      </c>
      <c r="M339" s="22" t="n">
        <v>0</v>
      </c>
      <c r="N339" s="3"/>
      <c r="O339" s="3"/>
      <c r="P339" s="3"/>
    </row>
    <row r="340" customFormat="false" ht="15.75" hidden="false" customHeight="true" outlineLevel="0" collapsed="false">
      <c r="A340" s="8" t="n">
        <v>46198</v>
      </c>
      <c r="B340" s="7" t="s">
        <v>164</v>
      </c>
      <c r="C340" s="7" t="s">
        <v>87</v>
      </c>
      <c r="D340" s="7" t="s">
        <v>158</v>
      </c>
      <c r="E340" s="7" t="s">
        <v>159</v>
      </c>
      <c r="F340" s="7" t="s">
        <v>160</v>
      </c>
      <c r="G340" s="7" t="s">
        <v>39</v>
      </c>
      <c r="H340" s="7" t="n">
        <v>34</v>
      </c>
      <c r="I340" s="7" t="n">
        <v>41</v>
      </c>
      <c r="J340" s="7" t="n">
        <v>22</v>
      </c>
      <c r="K340" s="7" t="n">
        <v>81</v>
      </c>
      <c r="L340" s="7" t="n">
        <v>0</v>
      </c>
      <c r="M340" s="22" t="n">
        <v>0</v>
      </c>
      <c r="N340" s="3"/>
      <c r="O340" s="3"/>
      <c r="P340" s="3"/>
    </row>
    <row r="341" customFormat="false" ht="15.75" hidden="false" customHeight="true" outlineLevel="0" collapsed="false">
      <c r="A341" s="8" t="n">
        <v>46198</v>
      </c>
      <c r="B341" s="7" t="s">
        <v>166</v>
      </c>
      <c r="C341" s="7" t="s">
        <v>167</v>
      </c>
      <c r="D341" s="7" t="s">
        <v>158</v>
      </c>
      <c r="E341" s="7" t="s">
        <v>159</v>
      </c>
      <c r="F341" s="7" t="s">
        <v>165</v>
      </c>
      <c r="G341" s="7" t="s">
        <v>39</v>
      </c>
      <c r="H341" s="7" t="n">
        <v>19</v>
      </c>
      <c r="I341" s="7" t="n">
        <v>24</v>
      </c>
      <c r="J341" s="7" t="n">
        <v>13</v>
      </c>
      <c r="K341" s="7" t="n">
        <v>70</v>
      </c>
      <c r="L341" s="7" t="n">
        <v>0</v>
      </c>
      <c r="M341" s="22" t="n">
        <v>0</v>
      </c>
      <c r="N341" s="3"/>
      <c r="O341" s="3"/>
      <c r="P341" s="3"/>
    </row>
    <row r="342" customFormat="false" ht="15.75" hidden="false" customHeight="true" outlineLevel="0" collapsed="false">
      <c r="A342" s="8" t="n">
        <v>46199</v>
      </c>
      <c r="B342" s="7" t="s">
        <v>157</v>
      </c>
      <c r="C342" s="7" t="s">
        <v>92</v>
      </c>
      <c r="D342" s="7" t="s">
        <v>158</v>
      </c>
      <c r="E342" s="7" t="s">
        <v>159</v>
      </c>
      <c r="F342" s="7" t="s">
        <v>160</v>
      </c>
      <c r="G342" s="7" t="s">
        <v>39</v>
      </c>
      <c r="H342" s="7" t="n">
        <v>48</v>
      </c>
      <c r="I342" s="7" t="n">
        <v>58</v>
      </c>
      <c r="J342" s="7" t="n">
        <v>38</v>
      </c>
      <c r="K342" s="7" t="n">
        <v>98</v>
      </c>
      <c r="L342" s="7" t="n">
        <v>0</v>
      </c>
      <c r="M342" s="22" t="n">
        <v>0</v>
      </c>
      <c r="N342" s="3"/>
      <c r="O342" s="3"/>
      <c r="P342" s="3"/>
    </row>
    <row r="343" customFormat="false" ht="15.75" hidden="false" customHeight="true" outlineLevel="0" collapsed="false">
      <c r="A343" s="8" t="n">
        <v>46199</v>
      </c>
      <c r="B343" s="7" t="s">
        <v>161</v>
      </c>
      <c r="C343" s="7" t="s">
        <v>92</v>
      </c>
      <c r="D343" s="7" t="s">
        <v>158</v>
      </c>
      <c r="E343" s="7" t="s">
        <v>159</v>
      </c>
      <c r="F343" s="7" t="s">
        <v>160</v>
      </c>
      <c r="G343" s="7" t="s">
        <v>39</v>
      </c>
      <c r="H343" s="7" t="n">
        <v>53</v>
      </c>
      <c r="I343" s="7" t="n">
        <v>64</v>
      </c>
      <c r="J343" s="7" t="n">
        <v>42</v>
      </c>
      <c r="K343" s="7" t="n">
        <v>100</v>
      </c>
      <c r="L343" s="7" t="n">
        <v>0</v>
      </c>
      <c r="M343" s="22" t="n">
        <v>0</v>
      </c>
      <c r="N343" s="3"/>
      <c r="O343" s="3"/>
      <c r="P343" s="3"/>
    </row>
    <row r="344" customFormat="false" ht="15.75" hidden="false" customHeight="true" outlineLevel="0" collapsed="false">
      <c r="A344" s="8" t="n">
        <v>46199</v>
      </c>
      <c r="B344" s="7" t="s">
        <v>162</v>
      </c>
      <c r="C344" s="7" t="s">
        <v>97</v>
      </c>
      <c r="D344" s="7" t="s">
        <v>158</v>
      </c>
      <c r="E344" s="7" t="s">
        <v>159</v>
      </c>
      <c r="F344" s="7" t="s">
        <v>165</v>
      </c>
      <c r="G344" s="7" t="s">
        <v>39</v>
      </c>
      <c r="H344" s="7" t="n">
        <v>39</v>
      </c>
      <c r="I344" s="7" t="n">
        <v>47</v>
      </c>
      <c r="J344" s="7" t="n">
        <v>28</v>
      </c>
      <c r="K344" s="7" t="n">
        <v>100</v>
      </c>
      <c r="L344" s="7" t="n">
        <v>0</v>
      </c>
      <c r="M344" s="22" t="n">
        <v>0</v>
      </c>
      <c r="N344" s="3"/>
      <c r="O344" s="3"/>
      <c r="P344" s="3"/>
    </row>
    <row r="345" customFormat="false" ht="15.75" hidden="false" customHeight="true" outlineLevel="0" collapsed="false">
      <c r="A345" s="8" t="n">
        <v>46199</v>
      </c>
      <c r="B345" s="7" t="s">
        <v>163</v>
      </c>
      <c r="C345" s="7" t="s">
        <v>97</v>
      </c>
      <c r="D345" s="7" t="s">
        <v>158</v>
      </c>
      <c r="E345" s="7" t="s">
        <v>159</v>
      </c>
      <c r="F345" s="7" t="s">
        <v>160</v>
      </c>
      <c r="G345" s="7" t="s">
        <v>39</v>
      </c>
      <c r="H345" s="7" t="n">
        <v>42</v>
      </c>
      <c r="I345" s="7" t="n">
        <v>51</v>
      </c>
      <c r="J345" s="7" t="n">
        <v>30</v>
      </c>
      <c r="K345" s="7" t="n">
        <v>115</v>
      </c>
      <c r="L345" s="7" t="n">
        <v>0</v>
      </c>
      <c r="M345" s="22" t="n">
        <v>0</v>
      </c>
      <c r="N345" s="3"/>
      <c r="O345" s="3"/>
      <c r="P345" s="3"/>
    </row>
    <row r="346" customFormat="false" ht="15.75" hidden="false" customHeight="true" outlineLevel="0" collapsed="false">
      <c r="A346" s="8" t="n">
        <v>46199</v>
      </c>
      <c r="B346" s="7" t="s">
        <v>164</v>
      </c>
      <c r="C346" s="7" t="s">
        <v>87</v>
      </c>
      <c r="D346" s="7" t="s">
        <v>158</v>
      </c>
      <c r="E346" s="7" t="s">
        <v>159</v>
      </c>
      <c r="F346" s="7" t="s">
        <v>160</v>
      </c>
      <c r="G346" s="7" t="s">
        <v>39</v>
      </c>
      <c r="H346" s="7" t="n">
        <v>30</v>
      </c>
      <c r="I346" s="7" t="n">
        <v>37</v>
      </c>
      <c r="J346" s="7" t="n">
        <v>20</v>
      </c>
      <c r="K346" s="7" t="n">
        <v>70</v>
      </c>
      <c r="L346" s="7" t="n">
        <v>0</v>
      </c>
      <c r="M346" s="22" t="n">
        <v>0</v>
      </c>
      <c r="N346" s="3"/>
      <c r="O346" s="3"/>
      <c r="P346" s="3"/>
    </row>
    <row r="347" customFormat="false" ht="15.75" hidden="false" customHeight="true" outlineLevel="0" collapsed="false">
      <c r="A347" s="8" t="n">
        <v>46199</v>
      </c>
      <c r="B347" s="7" t="s">
        <v>166</v>
      </c>
      <c r="C347" s="7" t="s">
        <v>167</v>
      </c>
      <c r="D347" s="7" t="s">
        <v>158</v>
      </c>
      <c r="E347" s="7" t="s">
        <v>159</v>
      </c>
      <c r="F347" s="7" t="s">
        <v>160</v>
      </c>
      <c r="G347" s="7" t="s">
        <v>39</v>
      </c>
      <c r="H347" s="7" t="n">
        <v>23</v>
      </c>
      <c r="I347" s="7" t="n">
        <v>28</v>
      </c>
      <c r="J347" s="7" t="n">
        <v>15</v>
      </c>
      <c r="K347" s="7" t="n">
        <v>66</v>
      </c>
      <c r="L347" s="7" t="n">
        <v>0</v>
      </c>
      <c r="M347" s="22" t="n">
        <v>0</v>
      </c>
      <c r="N347" s="3"/>
      <c r="O347" s="3"/>
      <c r="P347" s="3"/>
    </row>
    <row r="348" customFormat="false" ht="15.75" hidden="false" customHeight="true" outlineLevel="0" collapsed="false">
      <c r="A348" s="8" t="n">
        <v>46200</v>
      </c>
      <c r="B348" s="7" t="s">
        <v>157</v>
      </c>
      <c r="C348" s="7" t="s">
        <v>92</v>
      </c>
      <c r="D348" s="7" t="s">
        <v>158</v>
      </c>
      <c r="E348" s="7" t="s">
        <v>159</v>
      </c>
      <c r="F348" s="7" t="s">
        <v>160</v>
      </c>
      <c r="G348" s="7" t="s">
        <v>39</v>
      </c>
      <c r="H348" s="7" t="n">
        <v>50</v>
      </c>
      <c r="I348" s="7" t="n">
        <v>61</v>
      </c>
      <c r="J348" s="7" t="n">
        <v>40</v>
      </c>
      <c r="K348" s="7" t="n">
        <v>86</v>
      </c>
      <c r="L348" s="7" t="n">
        <v>0</v>
      </c>
      <c r="M348" s="22" t="n">
        <v>0</v>
      </c>
      <c r="N348" s="3"/>
      <c r="O348" s="3"/>
      <c r="P348" s="3"/>
    </row>
    <row r="349" customFormat="false" ht="15.75" hidden="false" customHeight="true" outlineLevel="0" collapsed="false">
      <c r="A349" s="8" t="n">
        <v>46200</v>
      </c>
      <c r="B349" s="7" t="s">
        <v>161</v>
      </c>
      <c r="C349" s="7" t="s">
        <v>92</v>
      </c>
      <c r="D349" s="7" t="s">
        <v>158</v>
      </c>
      <c r="E349" s="7" t="s">
        <v>159</v>
      </c>
      <c r="F349" s="7" t="s">
        <v>160</v>
      </c>
      <c r="G349" s="7" t="s">
        <v>39</v>
      </c>
      <c r="H349" s="7" t="n">
        <v>58</v>
      </c>
      <c r="I349" s="7" t="n">
        <v>71</v>
      </c>
      <c r="J349" s="7" t="n">
        <v>46</v>
      </c>
      <c r="K349" s="7" t="n">
        <v>83</v>
      </c>
      <c r="L349" s="7" t="n">
        <v>0</v>
      </c>
      <c r="M349" s="22" t="n">
        <v>0</v>
      </c>
      <c r="N349" s="3"/>
      <c r="O349" s="3"/>
      <c r="P349" s="3"/>
    </row>
    <row r="350" customFormat="false" ht="15.75" hidden="false" customHeight="true" outlineLevel="0" collapsed="false">
      <c r="A350" s="8" t="n">
        <v>46200</v>
      </c>
      <c r="B350" s="7" t="s">
        <v>162</v>
      </c>
      <c r="C350" s="7" t="s">
        <v>97</v>
      </c>
      <c r="D350" s="7" t="s">
        <v>158</v>
      </c>
      <c r="E350" s="7" t="s">
        <v>159</v>
      </c>
      <c r="F350" s="7" t="s">
        <v>160</v>
      </c>
      <c r="G350" s="7" t="s">
        <v>39</v>
      </c>
      <c r="H350" s="7" t="n">
        <v>40</v>
      </c>
      <c r="I350" s="7" t="n">
        <v>49</v>
      </c>
      <c r="J350" s="7" t="n">
        <v>29</v>
      </c>
      <c r="K350" s="7" t="n">
        <v>98</v>
      </c>
      <c r="L350" s="7" t="n">
        <v>0</v>
      </c>
      <c r="M350" s="22" t="n">
        <v>0</v>
      </c>
      <c r="N350" s="3"/>
      <c r="O350" s="3"/>
      <c r="P350" s="3"/>
    </row>
    <row r="351" customFormat="false" ht="15.75" hidden="false" customHeight="true" outlineLevel="0" collapsed="false">
      <c r="A351" s="8" t="n">
        <v>46200</v>
      </c>
      <c r="B351" s="7" t="s">
        <v>163</v>
      </c>
      <c r="C351" s="7" t="s">
        <v>97</v>
      </c>
      <c r="D351" s="7" t="s">
        <v>158</v>
      </c>
      <c r="E351" s="7" t="s">
        <v>159</v>
      </c>
      <c r="F351" s="7" t="s">
        <v>160</v>
      </c>
      <c r="G351" s="7" t="s">
        <v>39</v>
      </c>
      <c r="H351" s="7" t="n">
        <v>44</v>
      </c>
      <c r="I351" s="7" t="n">
        <v>54</v>
      </c>
      <c r="J351" s="7" t="n">
        <v>32</v>
      </c>
      <c r="K351" s="7" t="n">
        <v>112</v>
      </c>
      <c r="L351" s="7" t="n">
        <v>0</v>
      </c>
      <c r="M351" s="22" t="n">
        <v>0</v>
      </c>
      <c r="N351" s="3"/>
      <c r="O351" s="3"/>
      <c r="P351" s="3"/>
    </row>
    <row r="352" customFormat="false" ht="15.75" hidden="false" customHeight="true" outlineLevel="0" collapsed="false">
      <c r="A352" s="8" t="n">
        <v>46200</v>
      </c>
      <c r="B352" s="7" t="s">
        <v>164</v>
      </c>
      <c r="C352" s="7" t="s">
        <v>87</v>
      </c>
      <c r="D352" s="7" t="s">
        <v>158</v>
      </c>
      <c r="E352" s="7" t="s">
        <v>159</v>
      </c>
      <c r="F352" s="7" t="s">
        <v>160</v>
      </c>
      <c r="G352" s="7" t="s">
        <v>39</v>
      </c>
      <c r="H352" s="7" t="n">
        <v>29</v>
      </c>
      <c r="I352" s="7" t="n">
        <v>36</v>
      </c>
      <c r="J352" s="7" t="n">
        <v>20</v>
      </c>
      <c r="K352" s="7" t="n">
        <v>74</v>
      </c>
      <c r="L352" s="7" t="n">
        <v>0</v>
      </c>
      <c r="M352" s="22" t="n">
        <v>0</v>
      </c>
      <c r="N352" s="3"/>
      <c r="O352" s="3"/>
      <c r="P352" s="3"/>
    </row>
    <row r="353" customFormat="false" ht="15.75" hidden="false" customHeight="true" outlineLevel="0" collapsed="false">
      <c r="A353" s="8" t="n">
        <v>46200</v>
      </c>
      <c r="B353" s="7" t="s">
        <v>166</v>
      </c>
      <c r="C353" s="7" t="s">
        <v>167</v>
      </c>
      <c r="D353" s="7" t="s">
        <v>158</v>
      </c>
      <c r="E353" s="7" t="s">
        <v>159</v>
      </c>
      <c r="F353" s="7" t="s">
        <v>160</v>
      </c>
      <c r="G353" s="7" t="s">
        <v>39</v>
      </c>
      <c r="H353" s="7" t="n">
        <v>9</v>
      </c>
      <c r="I353" s="7" t="n">
        <v>11</v>
      </c>
      <c r="J353" s="7" t="n">
        <v>6</v>
      </c>
      <c r="K353" s="7" t="n">
        <v>72</v>
      </c>
      <c r="L353" s="7" t="n">
        <v>0</v>
      </c>
      <c r="M353" s="22" t="n">
        <v>0</v>
      </c>
      <c r="N353" s="3"/>
      <c r="O353" s="3"/>
      <c r="P353" s="3"/>
    </row>
    <row r="354" customFormat="false" ht="15.75" hidden="false" customHeight="true" outlineLevel="0" collapsed="false">
      <c r="A354" s="8" t="n">
        <v>46201</v>
      </c>
      <c r="B354" s="7" t="s">
        <v>157</v>
      </c>
      <c r="C354" s="7" t="s">
        <v>92</v>
      </c>
      <c r="D354" s="7" t="s">
        <v>158</v>
      </c>
      <c r="E354" s="7" t="s">
        <v>159</v>
      </c>
      <c r="F354" s="7" t="s">
        <v>160</v>
      </c>
      <c r="G354" s="7" t="s">
        <v>39</v>
      </c>
      <c r="H354" s="7" t="n">
        <v>55</v>
      </c>
      <c r="I354" s="7" t="n">
        <v>67</v>
      </c>
      <c r="J354" s="7" t="n">
        <v>44</v>
      </c>
      <c r="K354" s="7" t="n">
        <v>92</v>
      </c>
      <c r="L354" s="7" t="n">
        <v>0</v>
      </c>
      <c r="M354" s="22" t="n">
        <v>0</v>
      </c>
      <c r="N354" s="3"/>
      <c r="O354" s="3"/>
      <c r="P354" s="3"/>
    </row>
    <row r="355" customFormat="false" ht="15.75" hidden="false" customHeight="true" outlineLevel="0" collapsed="false">
      <c r="A355" s="8" t="n">
        <v>46201</v>
      </c>
      <c r="B355" s="7" t="s">
        <v>161</v>
      </c>
      <c r="C355" s="7" t="s">
        <v>92</v>
      </c>
      <c r="D355" s="7" t="s">
        <v>158</v>
      </c>
      <c r="E355" s="7" t="s">
        <v>159</v>
      </c>
      <c r="F355" s="7" t="s">
        <v>160</v>
      </c>
      <c r="G355" s="7" t="s">
        <v>39</v>
      </c>
      <c r="H355" s="7" t="n">
        <v>59</v>
      </c>
      <c r="I355" s="7" t="n">
        <v>72</v>
      </c>
      <c r="J355" s="7" t="n">
        <v>47</v>
      </c>
      <c r="K355" s="7" t="n">
        <v>89</v>
      </c>
      <c r="L355" s="7" t="n">
        <v>0</v>
      </c>
      <c r="M355" s="22" t="n">
        <v>0</v>
      </c>
      <c r="N355" s="3"/>
      <c r="O355" s="3"/>
      <c r="P355" s="3"/>
    </row>
    <row r="356" customFormat="false" ht="15.75" hidden="false" customHeight="true" outlineLevel="0" collapsed="false">
      <c r="A356" s="8" t="n">
        <v>46201</v>
      </c>
      <c r="B356" s="7" t="s">
        <v>162</v>
      </c>
      <c r="C356" s="7" t="s">
        <v>97</v>
      </c>
      <c r="D356" s="7" t="s">
        <v>158</v>
      </c>
      <c r="E356" s="7" t="s">
        <v>159</v>
      </c>
      <c r="F356" s="7" t="s">
        <v>165</v>
      </c>
      <c r="G356" s="7" t="s">
        <v>39</v>
      </c>
      <c r="H356" s="7" t="n">
        <v>34</v>
      </c>
      <c r="I356" s="7" t="n">
        <v>41</v>
      </c>
      <c r="J356" s="7" t="n">
        <v>24</v>
      </c>
      <c r="K356" s="7" t="n">
        <v>104</v>
      </c>
      <c r="L356" s="7" t="n">
        <v>0</v>
      </c>
      <c r="M356" s="22" t="n">
        <v>0</v>
      </c>
      <c r="N356" s="3"/>
      <c r="O356" s="3"/>
      <c r="P356" s="3"/>
    </row>
    <row r="357" customFormat="false" ht="15.75" hidden="false" customHeight="true" outlineLevel="0" collapsed="false">
      <c r="A357" s="8" t="n">
        <v>46201</v>
      </c>
      <c r="B357" s="7" t="s">
        <v>163</v>
      </c>
      <c r="C357" s="7" t="s">
        <v>97</v>
      </c>
      <c r="D357" s="7" t="s">
        <v>158</v>
      </c>
      <c r="E357" s="7" t="s">
        <v>159</v>
      </c>
      <c r="F357" s="7" t="s">
        <v>160</v>
      </c>
      <c r="G357" s="7" t="s">
        <v>39</v>
      </c>
      <c r="H357" s="7" t="n">
        <v>42</v>
      </c>
      <c r="I357" s="7" t="n">
        <v>51</v>
      </c>
      <c r="J357" s="7" t="n">
        <v>30</v>
      </c>
      <c r="K357" s="7" t="n">
        <v>113</v>
      </c>
      <c r="L357" s="7" t="n">
        <v>0</v>
      </c>
      <c r="M357" s="22" t="n">
        <v>0</v>
      </c>
      <c r="N357" s="3"/>
      <c r="O357" s="3"/>
      <c r="P357" s="3"/>
    </row>
    <row r="358" customFormat="false" ht="15.75" hidden="false" customHeight="true" outlineLevel="0" collapsed="false">
      <c r="A358" s="8" t="n">
        <v>46201</v>
      </c>
      <c r="B358" s="7" t="s">
        <v>164</v>
      </c>
      <c r="C358" s="7" t="s">
        <v>87</v>
      </c>
      <c r="D358" s="7" t="s">
        <v>158</v>
      </c>
      <c r="E358" s="7" t="s">
        <v>159</v>
      </c>
      <c r="F358" s="7" t="s">
        <v>160</v>
      </c>
      <c r="G358" s="7" t="s">
        <v>39</v>
      </c>
      <c r="H358" s="7" t="n">
        <v>40</v>
      </c>
      <c r="I358" s="7" t="n">
        <v>49</v>
      </c>
      <c r="J358" s="7" t="n">
        <v>27</v>
      </c>
      <c r="K358" s="7" t="n">
        <v>69</v>
      </c>
      <c r="L358" s="7" t="n">
        <v>0</v>
      </c>
      <c r="M358" s="22" t="n">
        <v>0</v>
      </c>
      <c r="N358" s="3"/>
      <c r="O358" s="3"/>
      <c r="P358" s="3"/>
    </row>
    <row r="359" customFormat="false" ht="15.75" hidden="false" customHeight="true" outlineLevel="0" collapsed="false">
      <c r="A359" s="8" t="n">
        <v>46201</v>
      </c>
      <c r="B359" s="7" t="s">
        <v>166</v>
      </c>
      <c r="C359" s="7" t="s">
        <v>167</v>
      </c>
      <c r="D359" s="7" t="s">
        <v>158</v>
      </c>
      <c r="E359" s="7" t="s">
        <v>159</v>
      </c>
      <c r="F359" s="7" t="s">
        <v>160</v>
      </c>
      <c r="G359" s="7" t="s">
        <v>39</v>
      </c>
      <c r="H359" s="7" t="n">
        <v>13</v>
      </c>
      <c r="I359" s="7" t="n">
        <v>16</v>
      </c>
      <c r="J359" s="7" t="n">
        <v>8</v>
      </c>
      <c r="K359" s="7" t="n">
        <v>64</v>
      </c>
      <c r="L359" s="7" t="n">
        <v>0</v>
      </c>
      <c r="M359" s="22" t="n">
        <v>0</v>
      </c>
      <c r="N359" s="3"/>
      <c r="O359" s="3"/>
      <c r="P359" s="3"/>
    </row>
    <row r="360" customFormat="false" ht="15.75" hidden="false" customHeight="true" outlineLevel="0" collapsed="false">
      <c r="A360" s="8" t="n">
        <v>46202</v>
      </c>
      <c r="B360" s="7" t="s">
        <v>157</v>
      </c>
      <c r="C360" s="7" t="s">
        <v>92</v>
      </c>
      <c r="D360" s="7" t="s">
        <v>158</v>
      </c>
      <c r="E360" s="7" t="s">
        <v>159</v>
      </c>
      <c r="F360" s="7" t="s">
        <v>160</v>
      </c>
      <c r="G360" s="7" t="s">
        <v>39</v>
      </c>
      <c r="H360" s="7" t="n">
        <v>55</v>
      </c>
      <c r="I360" s="7" t="n">
        <v>67</v>
      </c>
      <c r="J360" s="7" t="n">
        <v>44</v>
      </c>
      <c r="K360" s="7" t="n">
        <v>91</v>
      </c>
      <c r="L360" s="7" t="n">
        <v>0</v>
      </c>
      <c r="M360" s="22" t="n">
        <v>0</v>
      </c>
      <c r="N360" s="3"/>
      <c r="O360" s="3"/>
      <c r="P360" s="3"/>
    </row>
    <row r="361" customFormat="false" ht="15.75" hidden="false" customHeight="true" outlineLevel="0" collapsed="false">
      <c r="A361" s="8" t="n">
        <v>46202</v>
      </c>
      <c r="B361" s="7" t="s">
        <v>161</v>
      </c>
      <c r="C361" s="7" t="s">
        <v>92</v>
      </c>
      <c r="D361" s="7" t="s">
        <v>158</v>
      </c>
      <c r="E361" s="7" t="s">
        <v>159</v>
      </c>
      <c r="F361" s="7" t="s">
        <v>165</v>
      </c>
      <c r="G361" s="7" t="s">
        <v>39</v>
      </c>
      <c r="H361" s="7" t="n">
        <v>50</v>
      </c>
      <c r="I361" s="7" t="n">
        <v>61</v>
      </c>
      <c r="J361" s="7" t="n">
        <v>40</v>
      </c>
      <c r="K361" s="7" t="n">
        <v>93</v>
      </c>
      <c r="L361" s="7" t="n">
        <v>0</v>
      </c>
      <c r="M361" s="22" t="n">
        <v>0</v>
      </c>
      <c r="N361" s="3"/>
      <c r="O361" s="3"/>
      <c r="P361" s="3"/>
    </row>
    <row r="362" customFormat="false" ht="15.75" hidden="false" customHeight="true" outlineLevel="0" collapsed="false">
      <c r="A362" s="8" t="n">
        <v>46202</v>
      </c>
      <c r="B362" s="7" t="s">
        <v>162</v>
      </c>
      <c r="C362" s="7" t="s">
        <v>97</v>
      </c>
      <c r="D362" s="7" t="s">
        <v>158</v>
      </c>
      <c r="E362" s="7" t="s">
        <v>159</v>
      </c>
      <c r="F362" s="7" t="s">
        <v>160</v>
      </c>
      <c r="G362" s="7" t="s">
        <v>39</v>
      </c>
      <c r="H362" s="7" t="n">
        <v>44</v>
      </c>
      <c r="I362" s="7" t="n">
        <v>54</v>
      </c>
      <c r="J362" s="7" t="n">
        <v>32</v>
      </c>
      <c r="K362" s="7" t="n">
        <v>111</v>
      </c>
      <c r="L362" s="7" t="n">
        <v>0</v>
      </c>
      <c r="M362" s="22" t="n">
        <v>0</v>
      </c>
      <c r="N362" s="3"/>
      <c r="O362" s="3"/>
      <c r="P362" s="3"/>
    </row>
    <row r="363" customFormat="false" ht="15.75" hidden="false" customHeight="true" outlineLevel="0" collapsed="false">
      <c r="A363" s="8" t="n">
        <v>46202</v>
      </c>
      <c r="B363" s="7" t="s">
        <v>163</v>
      </c>
      <c r="C363" s="7" t="s">
        <v>97</v>
      </c>
      <c r="D363" s="7" t="s">
        <v>158</v>
      </c>
      <c r="E363" s="7" t="s">
        <v>159</v>
      </c>
      <c r="F363" s="7" t="s">
        <v>160</v>
      </c>
      <c r="G363" s="7" t="s">
        <v>39</v>
      </c>
      <c r="H363" s="7" t="n">
        <v>40</v>
      </c>
      <c r="I363" s="7" t="n">
        <v>49</v>
      </c>
      <c r="J363" s="7" t="n">
        <v>29</v>
      </c>
      <c r="K363" s="7" t="n">
        <v>101</v>
      </c>
      <c r="L363" s="7" t="n">
        <v>0</v>
      </c>
      <c r="M363" s="22" t="n">
        <v>0</v>
      </c>
      <c r="N363" s="3"/>
      <c r="O363" s="3"/>
      <c r="P363" s="3"/>
    </row>
    <row r="364" customFormat="false" ht="15.75" hidden="false" customHeight="true" outlineLevel="0" collapsed="false">
      <c r="A364" s="8" t="n">
        <v>46202</v>
      </c>
      <c r="B364" s="7" t="s">
        <v>164</v>
      </c>
      <c r="C364" s="7" t="s">
        <v>87</v>
      </c>
      <c r="D364" s="7" t="s">
        <v>158</v>
      </c>
      <c r="E364" s="7" t="s">
        <v>159</v>
      </c>
      <c r="F364" s="7" t="s">
        <v>160</v>
      </c>
      <c r="G364" s="7" t="s">
        <v>39</v>
      </c>
      <c r="H364" s="7" t="n">
        <v>33</v>
      </c>
      <c r="I364" s="7" t="n">
        <v>40</v>
      </c>
      <c r="J364" s="7" t="n">
        <v>22</v>
      </c>
      <c r="K364" s="7" t="n">
        <v>68</v>
      </c>
      <c r="L364" s="7" t="n">
        <v>0</v>
      </c>
      <c r="M364" s="22" t="n">
        <v>0</v>
      </c>
      <c r="N364" s="3"/>
      <c r="O364" s="3"/>
      <c r="P364" s="3"/>
    </row>
    <row r="365" customFormat="false" ht="15.75" hidden="false" customHeight="true" outlineLevel="0" collapsed="false">
      <c r="A365" s="8" t="n">
        <v>46202</v>
      </c>
      <c r="B365" s="7" t="s">
        <v>166</v>
      </c>
      <c r="C365" s="7" t="s">
        <v>167</v>
      </c>
      <c r="D365" s="7" t="s">
        <v>158</v>
      </c>
      <c r="E365" s="7" t="s">
        <v>159</v>
      </c>
      <c r="F365" s="7" t="s">
        <v>165</v>
      </c>
      <c r="G365" s="7" t="s">
        <v>39</v>
      </c>
      <c r="H365" s="7" t="n">
        <v>15</v>
      </c>
      <c r="I365" s="7" t="n">
        <v>19</v>
      </c>
      <c r="J365" s="7" t="n">
        <v>10</v>
      </c>
      <c r="K365" s="7" t="n">
        <v>71</v>
      </c>
      <c r="L365" s="7" t="n">
        <v>0</v>
      </c>
      <c r="M365" s="22" t="n">
        <v>0</v>
      </c>
      <c r="N365" s="3"/>
      <c r="O365" s="3"/>
      <c r="P365" s="3"/>
    </row>
    <row r="366" customFormat="false" ht="15.75" hidden="false" customHeight="true" outlineLevel="0" collapsed="false">
      <c r="A366" s="8" t="n">
        <v>46203</v>
      </c>
      <c r="B366" s="7" t="s">
        <v>157</v>
      </c>
      <c r="C366" s="7" t="s">
        <v>92</v>
      </c>
      <c r="D366" s="7" t="s">
        <v>158</v>
      </c>
      <c r="E366" s="7" t="s">
        <v>159</v>
      </c>
      <c r="F366" s="7" t="s">
        <v>160</v>
      </c>
      <c r="G366" s="7" t="s">
        <v>39</v>
      </c>
      <c r="H366" s="7" t="n">
        <v>60</v>
      </c>
      <c r="I366" s="7" t="n">
        <v>73</v>
      </c>
      <c r="J366" s="7" t="n">
        <v>48</v>
      </c>
      <c r="K366" s="7" t="n">
        <v>86</v>
      </c>
      <c r="L366" s="7" t="n">
        <v>0</v>
      </c>
      <c r="M366" s="22" t="n">
        <v>0</v>
      </c>
      <c r="N366" s="3"/>
      <c r="O366" s="3"/>
      <c r="P366" s="3"/>
    </row>
    <row r="367" customFormat="false" ht="15.75" hidden="false" customHeight="true" outlineLevel="0" collapsed="false">
      <c r="A367" s="8" t="n">
        <v>46203</v>
      </c>
      <c r="B367" s="7" t="s">
        <v>161</v>
      </c>
      <c r="C367" s="7" t="s">
        <v>92</v>
      </c>
      <c r="D367" s="7" t="s">
        <v>158</v>
      </c>
      <c r="E367" s="7" t="s">
        <v>159</v>
      </c>
      <c r="F367" s="7" t="s">
        <v>160</v>
      </c>
      <c r="G367" s="7" t="s">
        <v>39</v>
      </c>
      <c r="H367" s="7" t="n">
        <v>54</v>
      </c>
      <c r="I367" s="7" t="n">
        <v>66</v>
      </c>
      <c r="J367" s="7" t="n">
        <v>43</v>
      </c>
      <c r="K367" s="7" t="n">
        <v>88</v>
      </c>
      <c r="L367" s="7" t="n">
        <v>0</v>
      </c>
      <c r="M367" s="22" t="n">
        <v>0</v>
      </c>
      <c r="N367" s="3"/>
      <c r="O367" s="3"/>
      <c r="P367" s="3"/>
    </row>
    <row r="368" customFormat="false" ht="15.75" hidden="false" customHeight="true" outlineLevel="0" collapsed="false">
      <c r="A368" s="8" t="n">
        <v>46203</v>
      </c>
      <c r="B368" s="7" t="s">
        <v>162</v>
      </c>
      <c r="C368" s="7" t="s">
        <v>97</v>
      </c>
      <c r="D368" s="7" t="s">
        <v>158</v>
      </c>
      <c r="E368" s="7" t="s">
        <v>159</v>
      </c>
      <c r="F368" s="7" t="s">
        <v>160</v>
      </c>
      <c r="G368" s="7" t="s">
        <v>39</v>
      </c>
      <c r="H368" s="7" t="n">
        <v>36</v>
      </c>
      <c r="I368" s="7" t="n">
        <v>44</v>
      </c>
      <c r="J368" s="7" t="n">
        <v>26</v>
      </c>
      <c r="K368" s="7" t="n">
        <v>118</v>
      </c>
      <c r="L368" s="7" t="n">
        <v>0</v>
      </c>
      <c r="M368" s="22" t="n">
        <v>0</v>
      </c>
      <c r="N368" s="3"/>
      <c r="O368" s="3"/>
      <c r="P368" s="3"/>
    </row>
    <row r="369" customFormat="false" ht="15.75" hidden="false" customHeight="true" outlineLevel="0" collapsed="false">
      <c r="A369" s="8" t="n">
        <v>46203</v>
      </c>
      <c r="B369" s="7" t="s">
        <v>163</v>
      </c>
      <c r="C369" s="7" t="s">
        <v>97</v>
      </c>
      <c r="D369" s="7" t="s">
        <v>158</v>
      </c>
      <c r="E369" s="7" t="s">
        <v>159</v>
      </c>
      <c r="F369" s="7" t="s">
        <v>160</v>
      </c>
      <c r="G369" s="7" t="s">
        <v>39</v>
      </c>
      <c r="H369" s="7" t="n">
        <v>34</v>
      </c>
      <c r="I369" s="7" t="n">
        <v>42</v>
      </c>
      <c r="J369" s="7" t="n">
        <v>25</v>
      </c>
      <c r="K369" s="7" t="n">
        <v>112</v>
      </c>
      <c r="L369" s="7" t="n">
        <v>0</v>
      </c>
      <c r="M369" s="22" t="n">
        <v>0</v>
      </c>
      <c r="N369" s="3"/>
      <c r="O369" s="3"/>
      <c r="P369" s="3"/>
    </row>
    <row r="370" customFormat="false" ht="15.75" hidden="false" customHeight="true" outlineLevel="0" collapsed="false">
      <c r="A370" s="8" t="n">
        <v>46203</v>
      </c>
      <c r="B370" s="7" t="s">
        <v>164</v>
      </c>
      <c r="C370" s="7" t="s">
        <v>87</v>
      </c>
      <c r="D370" s="7" t="s">
        <v>158</v>
      </c>
      <c r="E370" s="7" t="s">
        <v>159</v>
      </c>
      <c r="F370" s="7" t="s">
        <v>160</v>
      </c>
      <c r="G370" s="7" t="s">
        <v>39</v>
      </c>
      <c r="H370" s="7" t="n">
        <v>27</v>
      </c>
      <c r="I370" s="7" t="n">
        <v>33</v>
      </c>
      <c r="J370" s="7" t="n">
        <v>18</v>
      </c>
      <c r="K370" s="7" t="n">
        <v>63</v>
      </c>
      <c r="L370" s="7" t="n">
        <v>0</v>
      </c>
      <c r="M370" s="22" t="n">
        <v>0</v>
      </c>
      <c r="N370" s="3"/>
      <c r="O370" s="3"/>
      <c r="P370" s="3"/>
    </row>
    <row r="371" customFormat="false" ht="15.75" hidden="false" customHeight="true" outlineLevel="0" collapsed="false">
      <c r="A371" s="8" t="n">
        <v>46203</v>
      </c>
      <c r="B371" s="7" t="s">
        <v>166</v>
      </c>
      <c r="C371" s="7" t="s">
        <v>167</v>
      </c>
      <c r="D371" s="7" t="s">
        <v>158</v>
      </c>
      <c r="E371" s="7" t="s">
        <v>159</v>
      </c>
      <c r="F371" s="7" t="s">
        <v>165</v>
      </c>
      <c r="G371" s="7" t="s">
        <v>39</v>
      </c>
      <c r="H371" s="7" t="n">
        <v>22</v>
      </c>
      <c r="I371" s="7" t="n">
        <v>27</v>
      </c>
      <c r="J371" s="7" t="n">
        <v>15</v>
      </c>
      <c r="K371" s="7" t="n">
        <v>71</v>
      </c>
      <c r="L371" s="7" t="n">
        <v>0</v>
      </c>
      <c r="M371" s="22" t="n">
        <v>0</v>
      </c>
      <c r="N371" s="3"/>
      <c r="O371" s="3"/>
      <c r="P371" s="3"/>
    </row>
    <row r="372" customFormat="false" ht="15.75" hidden="false" customHeight="true" outlineLevel="0" collapsed="false">
      <c r="A372" s="8" t="n">
        <v>45809</v>
      </c>
      <c r="B372" s="7" t="s">
        <v>157</v>
      </c>
      <c r="C372" s="7" t="s">
        <v>92</v>
      </c>
      <c r="D372" s="7" t="s">
        <v>158</v>
      </c>
      <c r="E372" s="7" t="s">
        <v>159</v>
      </c>
      <c r="F372" s="7" t="s">
        <v>165</v>
      </c>
      <c r="G372" s="7" t="s">
        <v>39</v>
      </c>
      <c r="H372" s="7" t="n">
        <v>36</v>
      </c>
      <c r="I372" s="7" t="n">
        <v>44</v>
      </c>
      <c r="J372" s="7" t="n">
        <v>29</v>
      </c>
      <c r="K372" s="7" t="n">
        <v>88</v>
      </c>
      <c r="L372" s="7" t="n">
        <v>0</v>
      </c>
      <c r="M372" s="22" t="n">
        <v>0</v>
      </c>
      <c r="N372" s="3"/>
      <c r="O372" s="3"/>
      <c r="P372" s="3"/>
    </row>
    <row r="373" customFormat="false" ht="15.75" hidden="false" customHeight="true" outlineLevel="0" collapsed="false">
      <c r="A373" s="8" t="n">
        <v>45809</v>
      </c>
      <c r="B373" s="7" t="s">
        <v>161</v>
      </c>
      <c r="C373" s="7" t="s">
        <v>92</v>
      </c>
      <c r="D373" s="7" t="s">
        <v>158</v>
      </c>
      <c r="E373" s="7" t="s">
        <v>159</v>
      </c>
      <c r="F373" s="7" t="s">
        <v>160</v>
      </c>
      <c r="G373" s="7" t="s">
        <v>39</v>
      </c>
      <c r="H373" s="7" t="n">
        <v>39</v>
      </c>
      <c r="I373" s="7" t="n">
        <v>48</v>
      </c>
      <c r="J373" s="7" t="n">
        <v>31</v>
      </c>
      <c r="K373" s="7" t="n">
        <v>90</v>
      </c>
      <c r="L373" s="7" t="n">
        <v>0</v>
      </c>
      <c r="M373" s="22" t="n">
        <v>0</v>
      </c>
      <c r="N373" s="3"/>
      <c r="O373" s="3"/>
      <c r="P373" s="3"/>
    </row>
    <row r="374" customFormat="false" ht="15.75" hidden="false" customHeight="true" outlineLevel="0" collapsed="false">
      <c r="A374" s="8" t="n">
        <v>45809</v>
      </c>
      <c r="B374" s="7" t="s">
        <v>162</v>
      </c>
      <c r="C374" s="7" t="s">
        <v>97</v>
      </c>
      <c r="D374" s="7" t="s">
        <v>158</v>
      </c>
      <c r="E374" s="7" t="s">
        <v>159</v>
      </c>
      <c r="F374" s="7" t="s">
        <v>165</v>
      </c>
      <c r="G374" s="7" t="s">
        <v>39</v>
      </c>
      <c r="H374" s="7" t="n">
        <v>38</v>
      </c>
      <c r="I374" s="7" t="n">
        <v>46</v>
      </c>
      <c r="J374" s="7" t="n">
        <v>27</v>
      </c>
      <c r="K374" s="7" t="n">
        <v>98</v>
      </c>
      <c r="L374" s="7" t="n">
        <v>0</v>
      </c>
      <c r="M374" s="22" t="n">
        <v>0</v>
      </c>
      <c r="N374" s="3"/>
      <c r="O374" s="3"/>
      <c r="P374" s="3"/>
    </row>
    <row r="375" customFormat="false" ht="15.75" hidden="false" customHeight="true" outlineLevel="0" collapsed="false">
      <c r="A375" s="8" t="n">
        <v>45809</v>
      </c>
      <c r="B375" s="7" t="s">
        <v>163</v>
      </c>
      <c r="C375" s="7" t="s">
        <v>97</v>
      </c>
      <c r="D375" s="7" t="s">
        <v>158</v>
      </c>
      <c r="E375" s="7" t="s">
        <v>159</v>
      </c>
      <c r="F375" s="7" t="s">
        <v>160</v>
      </c>
      <c r="G375" s="7" t="s">
        <v>39</v>
      </c>
      <c r="H375" s="7" t="n">
        <v>27</v>
      </c>
      <c r="I375" s="7" t="n">
        <v>33</v>
      </c>
      <c r="J375" s="7" t="n">
        <v>19</v>
      </c>
      <c r="K375" s="7" t="n">
        <v>99</v>
      </c>
      <c r="L375" s="7" t="n">
        <v>0</v>
      </c>
      <c r="M375" s="22" t="n">
        <v>0</v>
      </c>
      <c r="N375" s="3"/>
      <c r="O375" s="3"/>
      <c r="P375" s="3"/>
    </row>
    <row r="376" customFormat="false" ht="15.75" hidden="false" customHeight="true" outlineLevel="0" collapsed="false">
      <c r="A376" s="8" t="n">
        <v>45809</v>
      </c>
      <c r="B376" s="7" t="s">
        <v>164</v>
      </c>
      <c r="C376" s="7" t="s">
        <v>87</v>
      </c>
      <c r="D376" s="7" t="s">
        <v>158</v>
      </c>
      <c r="E376" s="7" t="s">
        <v>159</v>
      </c>
      <c r="F376" s="7" t="s">
        <v>165</v>
      </c>
      <c r="G376" s="7" t="s">
        <v>39</v>
      </c>
      <c r="H376" s="7" t="n">
        <v>34</v>
      </c>
      <c r="I376" s="7" t="n">
        <v>41</v>
      </c>
      <c r="J376" s="7" t="n">
        <v>22</v>
      </c>
      <c r="K376" s="7" t="n">
        <v>75</v>
      </c>
      <c r="L376" s="7" t="n">
        <v>0</v>
      </c>
      <c r="M376" s="22" t="n">
        <v>0</v>
      </c>
      <c r="N376" s="3"/>
      <c r="O376" s="3"/>
      <c r="P376" s="3"/>
    </row>
    <row r="377" customFormat="false" ht="15.75" hidden="false" customHeight="true" outlineLevel="0" collapsed="false">
      <c r="A377" s="8" t="n">
        <v>45809</v>
      </c>
      <c r="B377" s="7" t="s">
        <v>166</v>
      </c>
      <c r="C377" s="7" t="s">
        <v>167</v>
      </c>
      <c r="D377" s="7" t="s">
        <v>158</v>
      </c>
      <c r="E377" s="7" t="s">
        <v>159</v>
      </c>
      <c r="F377" s="7" t="s">
        <v>160</v>
      </c>
      <c r="G377" s="7" t="s">
        <v>39</v>
      </c>
      <c r="H377" s="7" t="n">
        <v>17</v>
      </c>
      <c r="I377" s="7" t="n">
        <v>21</v>
      </c>
      <c r="J377" s="7" t="n">
        <v>11</v>
      </c>
      <c r="K377" s="7" t="n">
        <v>64</v>
      </c>
      <c r="L377" s="7" t="n">
        <v>0</v>
      </c>
      <c r="M377" s="22" t="n">
        <v>0</v>
      </c>
      <c r="N377" s="3"/>
      <c r="O377" s="3"/>
      <c r="P377" s="3"/>
    </row>
    <row r="378" customFormat="false" ht="15.75" hidden="false" customHeight="true" outlineLevel="0" collapsed="false">
      <c r="A378" s="8" t="n">
        <v>45810</v>
      </c>
      <c r="B378" s="7" t="s">
        <v>157</v>
      </c>
      <c r="C378" s="7" t="s">
        <v>92</v>
      </c>
      <c r="D378" s="7" t="s">
        <v>158</v>
      </c>
      <c r="E378" s="7" t="s">
        <v>159</v>
      </c>
      <c r="F378" s="7" t="s">
        <v>160</v>
      </c>
      <c r="G378" s="7" t="s">
        <v>39</v>
      </c>
      <c r="H378" s="7" t="n">
        <v>43</v>
      </c>
      <c r="I378" s="7" t="n">
        <v>53</v>
      </c>
      <c r="J378" s="7" t="n">
        <v>34</v>
      </c>
      <c r="K378" s="7" t="n">
        <v>93</v>
      </c>
      <c r="L378" s="7" t="n">
        <v>0</v>
      </c>
      <c r="M378" s="22" t="n">
        <v>0</v>
      </c>
      <c r="N378" s="3"/>
      <c r="O378" s="3"/>
      <c r="P378" s="3"/>
    </row>
    <row r="379" customFormat="false" ht="15.75" hidden="false" customHeight="true" outlineLevel="0" collapsed="false">
      <c r="A379" s="8" t="n">
        <v>45810</v>
      </c>
      <c r="B379" s="7" t="s">
        <v>161</v>
      </c>
      <c r="C379" s="7" t="s">
        <v>92</v>
      </c>
      <c r="D379" s="7" t="s">
        <v>158</v>
      </c>
      <c r="E379" s="7" t="s">
        <v>159</v>
      </c>
      <c r="F379" s="7" t="s">
        <v>160</v>
      </c>
      <c r="G379" s="7" t="s">
        <v>39</v>
      </c>
      <c r="H379" s="7" t="n">
        <v>35</v>
      </c>
      <c r="I379" s="7" t="n">
        <v>43</v>
      </c>
      <c r="J379" s="7" t="n">
        <v>28</v>
      </c>
      <c r="K379" s="7" t="n">
        <v>99</v>
      </c>
      <c r="L379" s="7" t="n">
        <v>0</v>
      </c>
      <c r="M379" s="22" t="n">
        <v>0</v>
      </c>
      <c r="N379" s="3"/>
      <c r="O379" s="3"/>
      <c r="P379" s="3"/>
    </row>
    <row r="380" customFormat="false" ht="15.75" hidden="false" customHeight="true" outlineLevel="0" collapsed="false">
      <c r="A380" s="8" t="n">
        <v>45810</v>
      </c>
      <c r="B380" s="7" t="s">
        <v>162</v>
      </c>
      <c r="C380" s="7" t="s">
        <v>97</v>
      </c>
      <c r="D380" s="7" t="s">
        <v>158</v>
      </c>
      <c r="E380" s="7" t="s">
        <v>159</v>
      </c>
      <c r="F380" s="7" t="s">
        <v>160</v>
      </c>
      <c r="G380" s="7" t="s">
        <v>39</v>
      </c>
      <c r="H380" s="7" t="n">
        <v>37</v>
      </c>
      <c r="I380" s="7" t="n">
        <v>45</v>
      </c>
      <c r="J380" s="7" t="n">
        <v>27</v>
      </c>
      <c r="K380" s="7" t="n">
        <v>121</v>
      </c>
      <c r="L380" s="7" t="n">
        <v>0</v>
      </c>
      <c r="M380" s="22" t="n">
        <v>0</v>
      </c>
      <c r="N380" s="3"/>
      <c r="O380" s="3"/>
      <c r="P380" s="3"/>
    </row>
    <row r="381" customFormat="false" ht="15.75" hidden="false" customHeight="true" outlineLevel="0" collapsed="false">
      <c r="A381" s="8" t="n">
        <v>45810</v>
      </c>
      <c r="B381" s="7" t="s">
        <v>163</v>
      </c>
      <c r="C381" s="7" t="s">
        <v>97</v>
      </c>
      <c r="D381" s="7" t="s">
        <v>158</v>
      </c>
      <c r="E381" s="7" t="s">
        <v>159</v>
      </c>
      <c r="F381" s="7" t="s">
        <v>160</v>
      </c>
      <c r="G381" s="7" t="s">
        <v>39</v>
      </c>
      <c r="H381" s="7" t="n">
        <v>28</v>
      </c>
      <c r="I381" s="7" t="n">
        <v>34</v>
      </c>
      <c r="J381" s="7" t="n">
        <v>20</v>
      </c>
      <c r="K381" s="7" t="n">
        <v>101</v>
      </c>
      <c r="L381" s="7" t="n">
        <v>0</v>
      </c>
      <c r="M381" s="22" t="n">
        <v>0</v>
      </c>
      <c r="N381" s="3"/>
      <c r="O381" s="3"/>
      <c r="P381" s="3"/>
    </row>
    <row r="382" customFormat="false" ht="15.75" hidden="false" customHeight="true" outlineLevel="0" collapsed="false">
      <c r="A382" s="8" t="n">
        <v>45810</v>
      </c>
      <c r="B382" s="7" t="s">
        <v>164</v>
      </c>
      <c r="C382" s="7" t="s">
        <v>87</v>
      </c>
      <c r="D382" s="7" t="s">
        <v>158</v>
      </c>
      <c r="E382" s="7" t="s">
        <v>159</v>
      </c>
      <c r="F382" s="7" t="s">
        <v>160</v>
      </c>
      <c r="G382" s="7" t="s">
        <v>39</v>
      </c>
      <c r="H382" s="7" t="n">
        <v>30</v>
      </c>
      <c r="I382" s="7" t="n">
        <v>37</v>
      </c>
      <c r="J382" s="7" t="n">
        <v>20</v>
      </c>
      <c r="K382" s="7" t="n">
        <v>80</v>
      </c>
      <c r="L382" s="7" t="n">
        <v>0</v>
      </c>
      <c r="M382" s="22" t="n">
        <v>0</v>
      </c>
      <c r="N382" s="3"/>
      <c r="O382" s="3"/>
      <c r="P382" s="3"/>
    </row>
    <row r="383" customFormat="false" ht="15.75" hidden="false" customHeight="true" outlineLevel="0" collapsed="false">
      <c r="A383" s="8" t="n">
        <v>45810</v>
      </c>
      <c r="B383" s="7" t="s">
        <v>166</v>
      </c>
      <c r="C383" s="7" t="s">
        <v>167</v>
      </c>
      <c r="D383" s="7" t="s">
        <v>158</v>
      </c>
      <c r="E383" s="7" t="s">
        <v>159</v>
      </c>
      <c r="F383" s="7" t="s">
        <v>160</v>
      </c>
      <c r="G383" s="7" t="s">
        <v>39</v>
      </c>
      <c r="H383" s="7" t="n">
        <v>10</v>
      </c>
      <c r="I383" s="7" t="n">
        <v>13</v>
      </c>
      <c r="J383" s="7" t="n">
        <v>7</v>
      </c>
      <c r="K383" s="7" t="n">
        <v>71</v>
      </c>
      <c r="L383" s="7" t="n">
        <v>0</v>
      </c>
      <c r="M383" s="22" t="n">
        <v>0</v>
      </c>
      <c r="N383" s="3"/>
      <c r="O383" s="3"/>
      <c r="P383" s="3"/>
    </row>
    <row r="384" customFormat="false" ht="15.75" hidden="false" customHeight="true" outlineLevel="0" collapsed="false">
      <c r="A384" s="8" t="n">
        <v>45811</v>
      </c>
      <c r="B384" s="7" t="s">
        <v>157</v>
      </c>
      <c r="C384" s="7" t="s">
        <v>92</v>
      </c>
      <c r="D384" s="7" t="s">
        <v>158</v>
      </c>
      <c r="E384" s="7" t="s">
        <v>159</v>
      </c>
      <c r="F384" s="7" t="s">
        <v>160</v>
      </c>
      <c r="G384" s="7" t="s">
        <v>39</v>
      </c>
      <c r="H384" s="7" t="n">
        <v>49</v>
      </c>
      <c r="I384" s="7" t="n">
        <v>60</v>
      </c>
      <c r="J384" s="7" t="n">
        <v>39</v>
      </c>
      <c r="K384" s="7" t="n">
        <v>102</v>
      </c>
      <c r="L384" s="7" t="n">
        <v>0</v>
      </c>
      <c r="M384" s="22" t="n">
        <v>0</v>
      </c>
      <c r="N384" s="3"/>
      <c r="O384" s="3"/>
      <c r="P384" s="3"/>
    </row>
    <row r="385" customFormat="false" ht="15.75" hidden="false" customHeight="true" outlineLevel="0" collapsed="false">
      <c r="A385" s="8" t="n">
        <v>45811</v>
      </c>
      <c r="B385" s="7" t="s">
        <v>161</v>
      </c>
      <c r="C385" s="7" t="s">
        <v>92</v>
      </c>
      <c r="D385" s="7" t="s">
        <v>158</v>
      </c>
      <c r="E385" s="7" t="s">
        <v>159</v>
      </c>
      <c r="F385" s="7" t="s">
        <v>160</v>
      </c>
      <c r="G385" s="7" t="s">
        <v>39</v>
      </c>
      <c r="H385" s="7" t="n">
        <v>39</v>
      </c>
      <c r="I385" s="7" t="n">
        <v>48</v>
      </c>
      <c r="J385" s="7" t="n">
        <v>31</v>
      </c>
      <c r="K385" s="7" t="n">
        <v>102</v>
      </c>
      <c r="L385" s="7" t="n">
        <v>0</v>
      </c>
      <c r="M385" s="22" t="n">
        <v>0</v>
      </c>
      <c r="N385" s="3"/>
      <c r="O385" s="3"/>
      <c r="P385" s="3"/>
    </row>
    <row r="386" customFormat="false" ht="15.75" hidden="false" customHeight="true" outlineLevel="0" collapsed="false">
      <c r="A386" s="8" t="n">
        <v>45811</v>
      </c>
      <c r="B386" s="7" t="s">
        <v>162</v>
      </c>
      <c r="C386" s="7" t="s">
        <v>97</v>
      </c>
      <c r="D386" s="7" t="s">
        <v>158</v>
      </c>
      <c r="E386" s="7" t="s">
        <v>159</v>
      </c>
      <c r="F386" s="7" t="s">
        <v>160</v>
      </c>
      <c r="G386" s="7" t="s">
        <v>39</v>
      </c>
      <c r="H386" s="7" t="n">
        <v>35</v>
      </c>
      <c r="I386" s="7" t="n">
        <v>43</v>
      </c>
      <c r="J386" s="7" t="n">
        <v>25</v>
      </c>
      <c r="K386" s="7" t="n">
        <v>103</v>
      </c>
      <c r="L386" s="7" t="n">
        <v>0</v>
      </c>
      <c r="M386" s="22" t="n">
        <v>0</v>
      </c>
      <c r="N386" s="3"/>
      <c r="O386" s="3"/>
      <c r="P386" s="3"/>
    </row>
    <row r="387" customFormat="false" ht="15.75" hidden="false" customHeight="true" outlineLevel="0" collapsed="false">
      <c r="A387" s="8" t="n">
        <v>45811</v>
      </c>
      <c r="B387" s="7" t="s">
        <v>163</v>
      </c>
      <c r="C387" s="7" t="s">
        <v>97</v>
      </c>
      <c r="D387" s="7" t="s">
        <v>158</v>
      </c>
      <c r="E387" s="7" t="s">
        <v>159</v>
      </c>
      <c r="F387" s="7" t="s">
        <v>165</v>
      </c>
      <c r="G387" s="7" t="s">
        <v>39</v>
      </c>
      <c r="H387" s="7" t="n">
        <v>24</v>
      </c>
      <c r="I387" s="7" t="n">
        <v>29</v>
      </c>
      <c r="J387" s="7" t="n">
        <v>17</v>
      </c>
      <c r="K387" s="7" t="n">
        <v>117</v>
      </c>
      <c r="L387" s="7" t="n">
        <v>0</v>
      </c>
      <c r="M387" s="22" t="n">
        <v>0</v>
      </c>
      <c r="N387" s="3"/>
      <c r="O387" s="3"/>
      <c r="P387" s="3"/>
    </row>
    <row r="388" customFormat="false" ht="15.75" hidden="false" customHeight="true" outlineLevel="0" collapsed="false">
      <c r="A388" s="8" t="n">
        <v>45811</v>
      </c>
      <c r="B388" s="7" t="s">
        <v>164</v>
      </c>
      <c r="C388" s="7" t="s">
        <v>87</v>
      </c>
      <c r="D388" s="7" t="s">
        <v>158</v>
      </c>
      <c r="E388" s="7" t="s">
        <v>159</v>
      </c>
      <c r="F388" s="7" t="s">
        <v>160</v>
      </c>
      <c r="G388" s="7" t="s">
        <v>39</v>
      </c>
      <c r="H388" s="7" t="n">
        <v>32</v>
      </c>
      <c r="I388" s="7" t="n">
        <v>39</v>
      </c>
      <c r="J388" s="7" t="n">
        <v>21</v>
      </c>
      <c r="K388" s="7" t="n">
        <v>77</v>
      </c>
      <c r="L388" s="7" t="n">
        <v>0</v>
      </c>
      <c r="M388" s="22" t="n">
        <v>0</v>
      </c>
      <c r="N388" s="3"/>
      <c r="O388" s="3"/>
      <c r="P388" s="3"/>
    </row>
    <row r="389" customFormat="false" ht="15.75" hidden="false" customHeight="true" outlineLevel="0" collapsed="false">
      <c r="A389" s="8" t="n">
        <v>45811</v>
      </c>
      <c r="B389" s="7" t="s">
        <v>166</v>
      </c>
      <c r="C389" s="7" t="s">
        <v>167</v>
      </c>
      <c r="D389" s="7" t="s">
        <v>158</v>
      </c>
      <c r="E389" s="7" t="s">
        <v>159</v>
      </c>
      <c r="F389" s="7" t="s">
        <v>165</v>
      </c>
      <c r="G389" s="7" t="s">
        <v>39</v>
      </c>
      <c r="H389" s="7" t="n">
        <v>4</v>
      </c>
      <c r="I389" s="7" t="n">
        <v>6</v>
      </c>
      <c r="J389" s="7" t="n">
        <v>3</v>
      </c>
      <c r="K389" s="7" t="n">
        <v>65</v>
      </c>
      <c r="L389" s="7" t="n">
        <v>0</v>
      </c>
      <c r="M389" s="22" t="n">
        <v>0</v>
      </c>
      <c r="N389" s="3"/>
      <c r="O389" s="3"/>
      <c r="P389" s="3"/>
    </row>
    <row r="390" customFormat="false" ht="15.75" hidden="false" customHeight="true" outlineLevel="0" collapsed="false">
      <c r="A390" s="8" t="n">
        <v>45812</v>
      </c>
      <c r="B390" s="7" t="s">
        <v>157</v>
      </c>
      <c r="C390" s="7" t="s">
        <v>92</v>
      </c>
      <c r="D390" s="7" t="s">
        <v>158</v>
      </c>
      <c r="E390" s="7" t="s">
        <v>159</v>
      </c>
      <c r="F390" s="7" t="s">
        <v>160</v>
      </c>
      <c r="G390" s="7" t="s">
        <v>39</v>
      </c>
      <c r="H390" s="7" t="n">
        <v>49</v>
      </c>
      <c r="I390" s="7" t="n">
        <v>60</v>
      </c>
      <c r="J390" s="7" t="n">
        <v>39</v>
      </c>
      <c r="K390" s="7" t="n">
        <v>103</v>
      </c>
      <c r="L390" s="7" t="n">
        <v>0</v>
      </c>
      <c r="M390" s="22" t="n">
        <v>0</v>
      </c>
      <c r="N390" s="3"/>
      <c r="O390" s="3"/>
      <c r="P390" s="3"/>
    </row>
    <row r="391" customFormat="false" ht="15.75" hidden="false" customHeight="true" outlineLevel="0" collapsed="false">
      <c r="A391" s="8" t="n">
        <v>45812</v>
      </c>
      <c r="B391" s="7" t="s">
        <v>161</v>
      </c>
      <c r="C391" s="7" t="s">
        <v>92</v>
      </c>
      <c r="D391" s="7" t="s">
        <v>158</v>
      </c>
      <c r="E391" s="7" t="s">
        <v>159</v>
      </c>
      <c r="F391" s="7" t="s">
        <v>160</v>
      </c>
      <c r="G391" s="7" t="s">
        <v>39</v>
      </c>
      <c r="H391" s="7" t="n">
        <v>40</v>
      </c>
      <c r="I391" s="7" t="n">
        <v>49</v>
      </c>
      <c r="J391" s="7" t="n">
        <v>32</v>
      </c>
      <c r="K391" s="7" t="n">
        <v>102</v>
      </c>
      <c r="L391" s="7" t="n">
        <v>0</v>
      </c>
      <c r="M391" s="22" t="n">
        <v>0</v>
      </c>
      <c r="N391" s="3"/>
      <c r="O391" s="3"/>
      <c r="P391" s="3"/>
    </row>
    <row r="392" customFormat="false" ht="15.75" hidden="false" customHeight="true" outlineLevel="0" collapsed="false">
      <c r="A392" s="8" t="n">
        <v>45812</v>
      </c>
      <c r="B392" s="7" t="s">
        <v>162</v>
      </c>
      <c r="C392" s="7" t="s">
        <v>97</v>
      </c>
      <c r="D392" s="7" t="s">
        <v>158</v>
      </c>
      <c r="E392" s="7" t="s">
        <v>159</v>
      </c>
      <c r="F392" s="7" t="s">
        <v>160</v>
      </c>
      <c r="G392" s="7" t="s">
        <v>39</v>
      </c>
      <c r="H392" s="7" t="n">
        <v>34</v>
      </c>
      <c r="I392" s="7" t="n">
        <v>42</v>
      </c>
      <c r="J392" s="7" t="n">
        <v>25</v>
      </c>
      <c r="K392" s="7" t="n">
        <v>99</v>
      </c>
      <c r="L392" s="7" t="n">
        <v>0</v>
      </c>
      <c r="M392" s="22" t="n">
        <v>0</v>
      </c>
      <c r="N392" s="3"/>
      <c r="O392" s="3"/>
      <c r="P392" s="3"/>
    </row>
    <row r="393" customFormat="false" ht="15.75" hidden="false" customHeight="true" outlineLevel="0" collapsed="false">
      <c r="A393" s="8" t="n">
        <v>45812</v>
      </c>
      <c r="B393" s="7" t="s">
        <v>163</v>
      </c>
      <c r="C393" s="7" t="s">
        <v>97</v>
      </c>
      <c r="D393" s="7" t="s">
        <v>158</v>
      </c>
      <c r="E393" s="7" t="s">
        <v>159</v>
      </c>
      <c r="F393" s="7" t="s">
        <v>165</v>
      </c>
      <c r="G393" s="7" t="s">
        <v>39</v>
      </c>
      <c r="H393" s="7" t="n">
        <v>37</v>
      </c>
      <c r="I393" s="7" t="n">
        <v>45</v>
      </c>
      <c r="J393" s="7" t="n">
        <v>27</v>
      </c>
      <c r="K393" s="7" t="n">
        <v>122</v>
      </c>
      <c r="L393" s="7" t="n">
        <v>0</v>
      </c>
      <c r="M393" s="22" t="n">
        <v>0</v>
      </c>
      <c r="N393" s="3"/>
      <c r="O393" s="3"/>
      <c r="P393" s="3"/>
    </row>
    <row r="394" customFormat="false" ht="15.75" hidden="false" customHeight="true" outlineLevel="0" collapsed="false">
      <c r="A394" s="8" t="n">
        <v>45812</v>
      </c>
      <c r="B394" s="7" t="s">
        <v>164</v>
      </c>
      <c r="C394" s="7" t="s">
        <v>87</v>
      </c>
      <c r="D394" s="7" t="s">
        <v>158</v>
      </c>
      <c r="E394" s="7" t="s">
        <v>159</v>
      </c>
      <c r="F394" s="7" t="s">
        <v>165</v>
      </c>
      <c r="G394" s="7" t="s">
        <v>39</v>
      </c>
      <c r="H394" s="7" t="n">
        <v>31</v>
      </c>
      <c r="I394" s="7" t="n">
        <v>38</v>
      </c>
      <c r="J394" s="7" t="n">
        <v>21</v>
      </c>
      <c r="K394" s="7" t="n">
        <v>65</v>
      </c>
      <c r="L394" s="7" t="n">
        <v>0</v>
      </c>
      <c r="M394" s="22" t="n">
        <v>0</v>
      </c>
      <c r="N394" s="3"/>
      <c r="O394" s="3"/>
      <c r="P394" s="3"/>
    </row>
    <row r="395" customFormat="false" ht="15.75" hidden="false" customHeight="true" outlineLevel="0" collapsed="false">
      <c r="A395" s="8" t="n">
        <v>45812</v>
      </c>
      <c r="B395" s="7" t="s">
        <v>166</v>
      </c>
      <c r="C395" s="7" t="s">
        <v>167</v>
      </c>
      <c r="D395" s="7" t="s">
        <v>158</v>
      </c>
      <c r="E395" s="7" t="s">
        <v>159</v>
      </c>
      <c r="F395" s="7" t="s">
        <v>160</v>
      </c>
      <c r="G395" s="7" t="s">
        <v>39</v>
      </c>
      <c r="H395" s="7" t="n">
        <v>9</v>
      </c>
      <c r="I395" s="7" t="n">
        <v>11</v>
      </c>
      <c r="J395" s="7" t="n">
        <v>6</v>
      </c>
      <c r="K395" s="7" t="n">
        <v>75</v>
      </c>
      <c r="L395" s="7" t="n">
        <v>0</v>
      </c>
      <c r="M395" s="22" t="n">
        <v>0</v>
      </c>
      <c r="N395" s="3"/>
      <c r="O395" s="3"/>
      <c r="P395" s="3"/>
    </row>
    <row r="396" customFormat="false" ht="15.75" hidden="false" customHeight="true" outlineLevel="0" collapsed="false">
      <c r="A396" s="8" t="n">
        <v>45813</v>
      </c>
      <c r="B396" s="7" t="s">
        <v>157</v>
      </c>
      <c r="C396" s="7" t="s">
        <v>92</v>
      </c>
      <c r="D396" s="7" t="s">
        <v>158</v>
      </c>
      <c r="E396" s="7" t="s">
        <v>159</v>
      </c>
      <c r="F396" s="7" t="s">
        <v>165</v>
      </c>
      <c r="G396" s="7" t="s">
        <v>39</v>
      </c>
      <c r="H396" s="7" t="n">
        <v>47</v>
      </c>
      <c r="I396" s="7" t="n">
        <v>57</v>
      </c>
      <c r="J396" s="7" t="n">
        <v>37</v>
      </c>
      <c r="K396" s="7" t="n">
        <v>105</v>
      </c>
      <c r="L396" s="7" t="n">
        <v>0</v>
      </c>
      <c r="M396" s="22" t="n">
        <v>0</v>
      </c>
      <c r="N396" s="3"/>
      <c r="O396" s="3"/>
      <c r="P396" s="3"/>
    </row>
    <row r="397" customFormat="false" ht="15.75" hidden="false" customHeight="true" outlineLevel="0" collapsed="false">
      <c r="A397" s="8" t="n">
        <v>45813</v>
      </c>
      <c r="B397" s="7" t="s">
        <v>161</v>
      </c>
      <c r="C397" s="7" t="s">
        <v>92</v>
      </c>
      <c r="D397" s="7" t="s">
        <v>158</v>
      </c>
      <c r="E397" s="7" t="s">
        <v>159</v>
      </c>
      <c r="F397" s="7" t="s">
        <v>160</v>
      </c>
      <c r="G397" s="7" t="s">
        <v>39</v>
      </c>
      <c r="H397" s="7" t="n">
        <v>46</v>
      </c>
      <c r="I397" s="7" t="n">
        <v>56</v>
      </c>
      <c r="J397" s="7" t="n">
        <v>36</v>
      </c>
      <c r="K397" s="7" t="n">
        <v>84</v>
      </c>
      <c r="L397" s="7" t="n">
        <v>0</v>
      </c>
      <c r="M397" s="22" t="n">
        <v>0</v>
      </c>
      <c r="N397" s="3"/>
      <c r="O397" s="3"/>
      <c r="P397" s="3"/>
    </row>
    <row r="398" customFormat="false" ht="15.75" hidden="false" customHeight="true" outlineLevel="0" collapsed="false">
      <c r="A398" s="8" t="n">
        <v>45813</v>
      </c>
      <c r="B398" s="7" t="s">
        <v>162</v>
      </c>
      <c r="C398" s="7" t="s">
        <v>97</v>
      </c>
      <c r="D398" s="7" t="s">
        <v>158</v>
      </c>
      <c r="E398" s="7" t="s">
        <v>159</v>
      </c>
      <c r="F398" s="7" t="s">
        <v>160</v>
      </c>
      <c r="G398" s="7" t="s">
        <v>39</v>
      </c>
      <c r="H398" s="7" t="n">
        <v>33</v>
      </c>
      <c r="I398" s="7" t="n">
        <v>40</v>
      </c>
      <c r="J398" s="7" t="n">
        <v>24</v>
      </c>
      <c r="K398" s="7" t="n">
        <v>120</v>
      </c>
      <c r="L398" s="7" t="n">
        <v>0</v>
      </c>
      <c r="M398" s="22" t="n">
        <v>0</v>
      </c>
      <c r="N398" s="3"/>
      <c r="O398" s="3"/>
      <c r="P398" s="3"/>
    </row>
    <row r="399" customFormat="false" ht="15.75" hidden="false" customHeight="true" outlineLevel="0" collapsed="false">
      <c r="A399" s="8" t="n">
        <v>45813</v>
      </c>
      <c r="B399" s="7" t="s">
        <v>163</v>
      </c>
      <c r="C399" s="7" t="s">
        <v>97</v>
      </c>
      <c r="D399" s="7" t="s">
        <v>158</v>
      </c>
      <c r="E399" s="7" t="s">
        <v>159</v>
      </c>
      <c r="F399" s="7" t="s">
        <v>160</v>
      </c>
      <c r="G399" s="7" t="s">
        <v>39</v>
      </c>
      <c r="H399" s="7" t="n">
        <v>24</v>
      </c>
      <c r="I399" s="7" t="n">
        <v>30</v>
      </c>
      <c r="J399" s="7" t="n">
        <v>18</v>
      </c>
      <c r="K399" s="7" t="n">
        <v>102</v>
      </c>
      <c r="L399" s="7" t="n">
        <v>0</v>
      </c>
      <c r="M399" s="22" t="n">
        <v>0</v>
      </c>
      <c r="N399" s="3"/>
      <c r="O399" s="3"/>
      <c r="P399" s="3"/>
    </row>
    <row r="400" customFormat="false" ht="15.75" hidden="false" customHeight="true" outlineLevel="0" collapsed="false">
      <c r="A400" s="8" t="n">
        <v>45813</v>
      </c>
      <c r="B400" s="7" t="s">
        <v>164</v>
      </c>
      <c r="C400" s="7" t="s">
        <v>87</v>
      </c>
      <c r="D400" s="7" t="s">
        <v>158</v>
      </c>
      <c r="E400" s="7" t="s">
        <v>159</v>
      </c>
      <c r="F400" s="7" t="s">
        <v>160</v>
      </c>
      <c r="G400" s="7" t="s">
        <v>39</v>
      </c>
      <c r="H400" s="7" t="n">
        <v>22</v>
      </c>
      <c r="I400" s="7" t="n">
        <v>27</v>
      </c>
      <c r="J400" s="7" t="n">
        <v>15</v>
      </c>
      <c r="K400" s="7" t="n">
        <v>67</v>
      </c>
      <c r="L400" s="7" t="n">
        <v>0</v>
      </c>
      <c r="M400" s="22" t="n">
        <v>0</v>
      </c>
      <c r="N400" s="3"/>
      <c r="O400" s="3"/>
      <c r="P400" s="3"/>
    </row>
    <row r="401" customFormat="false" ht="15.75" hidden="false" customHeight="true" outlineLevel="0" collapsed="false">
      <c r="A401" s="8" t="n">
        <v>45813</v>
      </c>
      <c r="B401" s="7" t="s">
        <v>166</v>
      </c>
      <c r="C401" s="7" t="s">
        <v>167</v>
      </c>
      <c r="D401" s="7" t="s">
        <v>158</v>
      </c>
      <c r="E401" s="7" t="s">
        <v>159</v>
      </c>
      <c r="F401" s="7" t="s">
        <v>160</v>
      </c>
      <c r="G401" s="7" t="s">
        <v>39</v>
      </c>
      <c r="H401" s="7" t="n">
        <v>5</v>
      </c>
      <c r="I401" s="7" t="n">
        <v>7</v>
      </c>
      <c r="J401" s="7" t="n">
        <v>3</v>
      </c>
      <c r="K401" s="7" t="n">
        <v>63</v>
      </c>
      <c r="L401" s="7" t="n">
        <v>0</v>
      </c>
      <c r="M401" s="22" t="n">
        <v>0</v>
      </c>
      <c r="N401" s="3"/>
      <c r="O401" s="3"/>
      <c r="P401" s="3"/>
    </row>
    <row r="402" customFormat="false" ht="15.75" hidden="false" customHeight="true" outlineLevel="0" collapsed="false">
      <c r="A402" s="8" t="n">
        <v>45814</v>
      </c>
      <c r="B402" s="7" t="s">
        <v>157</v>
      </c>
      <c r="C402" s="7" t="s">
        <v>92</v>
      </c>
      <c r="D402" s="7" t="s">
        <v>158</v>
      </c>
      <c r="E402" s="7" t="s">
        <v>159</v>
      </c>
      <c r="F402" s="7" t="s">
        <v>160</v>
      </c>
      <c r="G402" s="7" t="s">
        <v>39</v>
      </c>
      <c r="H402" s="7" t="n">
        <v>48</v>
      </c>
      <c r="I402" s="7" t="n">
        <v>58</v>
      </c>
      <c r="J402" s="7" t="n">
        <v>38</v>
      </c>
      <c r="K402" s="7" t="n">
        <v>87</v>
      </c>
      <c r="L402" s="7" t="n">
        <v>0</v>
      </c>
      <c r="M402" s="22" t="n">
        <v>0</v>
      </c>
      <c r="N402" s="3"/>
      <c r="O402" s="3"/>
      <c r="P402" s="3"/>
    </row>
    <row r="403" customFormat="false" ht="15.75" hidden="false" customHeight="true" outlineLevel="0" collapsed="false">
      <c r="A403" s="8" t="n">
        <v>45814</v>
      </c>
      <c r="B403" s="7" t="s">
        <v>161</v>
      </c>
      <c r="C403" s="7" t="s">
        <v>92</v>
      </c>
      <c r="D403" s="7" t="s">
        <v>158</v>
      </c>
      <c r="E403" s="7" t="s">
        <v>159</v>
      </c>
      <c r="F403" s="7" t="s">
        <v>165</v>
      </c>
      <c r="G403" s="7" t="s">
        <v>39</v>
      </c>
      <c r="H403" s="7" t="n">
        <v>42</v>
      </c>
      <c r="I403" s="7" t="n">
        <v>51</v>
      </c>
      <c r="J403" s="7" t="n">
        <v>33</v>
      </c>
      <c r="K403" s="7" t="n">
        <v>98</v>
      </c>
      <c r="L403" s="7" t="n">
        <v>0</v>
      </c>
      <c r="M403" s="22" t="n">
        <v>0</v>
      </c>
      <c r="N403" s="3"/>
      <c r="O403" s="3"/>
      <c r="P403" s="3"/>
    </row>
    <row r="404" customFormat="false" ht="15.75" hidden="false" customHeight="true" outlineLevel="0" collapsed="false">
      <c r="A404" s="8" t="n">
        <v>45814</v>
      </c>
      <c r="B404" s="7" t="s">
        <v>162</v>
      </c>
      <c r="C404" s="7" t="s">
        <v>97</v>
      </c>
      <c r="D404" s="7" t="s">
        <v>158</v>
      </c>
      <c r="E404" s="7" t="s">
        <v>159</v>
      </c>
      <c r="F404" s="7" t="s">
        <v>165</v>
      </c>
      <c r="G404" s="7" t="s">
        <v>39</v>
      </c>
      <c r="H404" s="7" t="n">
        <v>24</v>
      </c>
      <c r="I404" s="7" t="n">
        <v>30</v>
      </c>
      <c r="J404" s="7" t="n">
        <v>18</v>
      </c>
      <c r="K404" s="7" t="n">
        <v>119</v>
      </c>
      <c r="L404" s="7" t="n">
        <v>0</v>
      </c>
      <c r="M404" s="22" t="n">
        <v>0</v>
      </c>
      <c r="N404" s="3"/>
      <c r="O404" s="3"/>
      <c r="P404" s="3"/>
    </row>
    <row r="405" customFormat="false" ht="15.75" hidden="false" customHeight="true" outlineLevel="0" collapsed="false">
      <c r="A405" s="8" t="n">
        <v>45814</v>
      </c>
      <c r="B405" s="7" t="s">
        <v>163</v>
      </c>
      <c r="C405" s="7" t="s">
        <v>97</v>
      </c>
      <c r="D405" s="7" t="s">
        <v>158</v>
      </c>
      <c r="E405" s="7" t="s">
        <v>159</v>
      </c>
      <c r="F405" s="7" t="s">
        <v>160</v>
      </c>
      <c r="G405" s="7" t="s">
        <v>39</v>
      </c>
      <c r="H405" s="7" t="n">
        <v>29</v>
      </c>
      <c r="I405" s="7" t="n">
        <v>36</v>
      </c>
      <c r="J405" s="7" t="n">
        <v>21</v>
      </c>
      <c r="K405" s="7" t="n">
        <v>107</v>
      </c>
      <c r="L405" s="7" t="n">
        <v>0</v>
      </c>
      <c r="M405" s="22" t="n">
        <v>0</v>
      </c>
      <c r="N405" s="3"/>
      <c r="O405" s="3"/>
      <c r="P405" s="3"/>
    </row>
    <row r="406" customFormat="false" ht="15.75" hidden="false" customHeight="true" outlineLevel="0" collapsed="false">
      <c r="A406" s="8" t="n">
        <v>45814</v>
      </c>
      <c r="B406" s="7" t="s">
        <v>164</v>
      </c>
      <c r="C406" s="7" t="s">
        <v>87</v>
      </c>
      <c r="D406" s="7" t="s">
        <v>158</v>
      </c>
      <c r="E406" s="7" t="s">
        <v>159</v>
      </c>
      <c r="F406" s="7" t="s">
        <v>160</v>
      </c>
      <c r="G406" s="7" t="s">
        <v>39</v>
      </c>
      <c r="H406" s="7" t="n">
        <v>24</v>
      </c>
      <c r="I406" s="7" t="n">
        <v>30</v>
      </c>
      <c r="J406" s="7" t="n">
        <v>16</v>
      </c>
      <c r="K406" s="7" t="n">
        <v>76</v>
      </c>
      <c r="L406" s="7" t="n">
        <v>0</v>
      </c>
      <c r="M406" s="22" t="n">
        <v>0</v>
      </c>
      <c r="N406" s="3"/>
      <c r="O406" s="3"/>
      <c r="P406" s="3"/>
    </row>
    <row r="407" customFormat="false" ht="15.75" hidden="false" customHeight="true" outlineLevel="0" collapsed="false">
      <c r="A407" s="8" t="n">
        <v>45814</v>
      </c>
      <c r="B407" s="7" t="s">
        <v>166</v>
      </c>
      <c r="C407" s="7" t="s">
        <v>167</v>
      </c>
      <c r="D407" s="7" t="s">
        <v>158</v>
      </c>
      <c r="E407" s="7" t="s">
        <v>159</v>
      </c>
      <c r="F407" s="7" t="s">
        <v>160</v>
      </c>
      <c r="G407" s="7" t="s">
        <v>39</v>
      </c>
      <c r="H407" s="7" t="n">
        <v>10</v>
      </c>
      <c r="I407" s="7" t="n">
        <v>13</v>
      </c>
      <c r="J407" s="7" t="n">
        <v>7</v>
      </c>
      <c r="K407" s="7" t="n">
        <v>74</v>
      </c>
      <c r="L407" s="7" t="n">
        <v>0</v>
      </c>
      <c r="M407" s="22" t="n">
        <v>0</v>
      </c>
      <c r="N407" s="3"/>
      <c r="O407" s="3"/>
      <c r="P407" s="3"/>
    </row>
    <row r="408" customFormat="false" ht="15.75" hidden="false" customHeight="true" outlineLevel="0" collapsed="false">
      <c r="A408" s="8" t="n">
        <v>45815</v>
      </c>
      <c r="B408" s="7" t="s">
        <v>157</v>
      </c>
      <c r="C408" s="7" t="s">
        <v>92</v>
      </c>
      <c r="D408" s="7" t="s">
        <v>158</v>
      </c>
      <c r="E408" s="7" t="s">
        <v>159</v>
      </c>
      <c r="F408" s="7" t="s">
        <v>160</v>
      </c>
      <c r="G408" s="7" t="s">
        <v>39</v>
      </c>
      <c r="H408" s="7" t="n">
        <v>39</v>
      </c>
      <c r="I408" s="7" t="n">
        <v>48</v>
      </c>
      <c r="J408" s="7" t="n">
        <v>31</v>
      </c>
      <c r="K408" s="7" t="n">
        <v>84</v>
      </c>
      <c r="L408" s="7" t="n">
        <v>0</v>
      </c>
      <c r="M408" s="22" t="n">
        <v>0</v>
      </c>
      <c r="N408" s="3"/>
      <c r="O408" s="3"/>
      <c r="P408" s="3"/>
    </row>
    <row r="409" customFormat="false" ht="15.75" hidden="false" customHeight="true" outlineLevel="0" collapsed="false">
      <c r="A409" s="8" t="n">
        <v>45815</v>
      </c>
      <c r="B409" s="7" t="s">
        <v>161</v>
      </c>
      <c r="C409" s="7" t="s">
        <v>92</v>
      </c>
      <c r="D409" s="7" t="s">
        <v>158</v>
      </c>
      <c r="E409" s="7" t="s">
        <v>159</v>
      </c>
      <c r="F409" s="7" t="s">
        <v>160</v>
      </c>
      <c r="G409" s="7" t="s">
        <v>39</v>
      </c>
      <c r="H409" s="7" t="n">
        <v>35</v>
      </c>
      <c r="I409" s="7" t="n">
        <v>43</v>
      </c>
      <c r="J409" s="7" t="n">
        <v>28</v>
      </c>
      <c r="K409" s="7" t="n">
        <v>106</v>
      </c>
      <c r="L409" s="7" t="n">
        <v>0</v>
      </c>
      <c r="M409" s="22" t="n">
        <v>0</v>
      </c>
      <c r="N409" s="3"/>
      <c r="O409" s="3"/>
      <c r="P409" s="3"/>
    </row>
    <row r="410" customFormat="false" ht="15.75" hidden="false" customHeight="true" outlineLevel="0" collapsed="false">
      <c r="A410" s="8" t="n">
        <v>45815</v>
      </c>
      <c r="B410" s="7" t="s">
        <v>162</v>
      </c>
      <c r="C410" s="7" t="s">
        <v>97</v>
      </c>
      <c r="D410" s="7" t="s">
        <v>158</v>
      </c>
      <c r="E410" s="7" t="s">
        <v>159</v>
      </c>
      <c r="F410" s="7" t="s">
        <v>165</v>
      </c>
      <c r="G410" s="7" t="s">
        <v>39</v>
      </c>
      <c r="H410" s="7" t="n">
        <v>39</v>
      </c>
      <c r="I410" s="7" t="n">
        <v>47</v>
      </c>
      <c r="J410" s="7" t="n">
        <v>28</v>
      </c>
      <c r="K410" s="7" t="n">
        <v>103</v>
      </c>
      <c r="L410" s="7" t="n">
        <v>0</v>
      </c>
      <c r="M410" s="22" t="n">
        <v>0</v>
      </c>
      <c r="N410" s="3"/>
      <c r="O410" s="3"/>
      <c r="P410" s="3"/>
    </row>
    <row r="411" customFormat="false" ht="15.75" hidden="false" customHeight="true" outlineLevel="0" collapsed="false">
      <c r="A411" s="8" t="n">
        <v>45815</v>
      </c>
      <c r="B411" s="7" t="s">
        <v>163</v>
      </c>
      <c r="C411" s="7" t="s">
        <v>97</v>
      </c>
      <c r="D411" s="7" t="s">
        <v>158</v>
      </c>
      <c r="E411" s="7" t="s">
        <v>159</v>
      </c>
      <c r="F411" s="7" t="s">
        <v>165</v>
      </c>
      <c r="G411" s="7" t="s">
        <v>39</v>
      </c>
      <c r="H411" s="7" t="n">
        <v>29</v>
      </c>
      <c r="I411" s="7" t="n">
        <v>35</v>
      </c>
      <c r="J411" s="7" t="n">
        <v>21</v>
      </c>
      <c r="K411" s="7" t="n">
        <v>110</v>
      </c>
      <c r="L411" s="7" t="n">
        <v>0</v>
      </c>
      <c r="M411" s="22" t="n">
        <v>0</v>
      </c>
      <c r="N411" s="3"/>
      <c r="O411" s="3"/>
      <c r="P411" s="3"/>
    </row>
    <row r="412" customFormat="false" ht="15.75" hidden="false" customHeight="true" outlineLevel="0" collapsed="false">
      <c r="A412" s="8" t="n">
        <v>45815</v>
      </c>
      <c r="B412" s="7" t="s">
        <v>164</v>
      </c>
      <c r="C412" s="7" t="s">
        <v>87</v>
      </c>
      <c r="D412" s="7" t="s">
        <v>158</v>
      </c>
      <c r="E412" s="7" t="s">
        <v>159</v>
      </c>
      <c r="F412" s="7" t="s">
        <v>160</v>
      </c>
      <c r="G412" s="7" t="s">
        <v>39</v>
      </c>
      <c r="H412" s="7" t="n">
        <v>24</v>
      </c>
      <c r="I412" s="7" t="n">
        <v>29</v>
      </c>
      <c r="J412" s="7" t="n">
        <v>16</v>
      </c>
      <c r="K412" s="7" t="n">
        <v>76</v>
      </c>
      <c r="L412" s="7" t="n">
        <v>0</v>
      </c>
      <c r="M412" s="22" t="n">
        <v>0</v>
      </c>
      <c r="N412" s="3"/>
      <c r="O412" s="3"/>
      <c r="P412" s="3"/>
    </row>
    <row r="413" customFormat="false" ht="15.75" hidden="false" customHeight="true" outlineLevel="0" collapsed="false">
      <c r="A413" s="8" t="n">
        <v>45815</v>
      </c>
      <c r="B413" s="7" t="s">
        <v>166</v>
      </c>
      <c r="C413" s="7" t="s">
        <v>167</v>
      </c>
      <c r="D413" s="7" t="s">
        <v>158</v>
      </c>
      <c r="E413" s="7" t="s">
        <v>159</v>
      </c>
      <c r="F413" s="7" t="s">
        <v>160</v>
      </c>
      <c r="G413" s="7" t="s">
        <v>39</v>
      </c>
      <c r="H413" s="7" t="n">
        <v>19</v>
      </c>
      <c r="I413" s="7" t="n">
        <v>23</v>
      </c>
      <c r="J413" s="7" t="n">
        <v>12</v>
      </c>
      <c r="K413" s="7" t="n">
        <v>68</v>
      </c>
      <c r="L413" s="7" t="n">
        <v>0</v>
      </c>
      <c r="M413" s="22" t="n">
        <v>0</v>
      </c>
      <c r="N413" s="3"/>
      <c r="O413" s="3"/>
      <c r="P413" s="3"/>
    </row>
    <row r="414" customFormat="false" ht="15.75" hidden="false" customHeight="true" outlineLevel="0" collapsed="false">
      <c r="A414" s="8" t="n">
        <v>45816</v>
      </c>
      <c r="B414" s="7" t="s">
        <v>157</v>
      </c>
      <c r="C414" s="7" t="s">
        <v>92</v>
      </c>
      <c r="D414" s="7" t="s">
        <v>158</v>
      </c>
      <c r="E414" s="7" t="s">
        <v>159</v>
      </c>
      <c r="F414" s="7" t="s">
        <v>160</v>
      </c>
      <c r="G414" s="7" t="s">
        <v>39</v>
      </c>
      <c r="H414" s="7" t="n">
        <v>39</v>
      </c>
      <c r="I414" s="7" t="n">
        <v>48</v>
      </c>
      <c r="J414" s="7" t="n">
        <v>31</v>
      </c>
      <c r="K414" s="7" t="n">
        <v>102</v>
      </c>
      <c r="L414" s="7" t="n">
        <v>0</v>
      </c>
      <c r="M414" s="22" t="n">
        <v>0</v>
      </c>
      <c r="N414" s="3"/>
      <c r="O414" s="3"/>
      <c r="P414" s="3"/>
    </row>
    <row r="415" customFormat="false" ht="15.75" hidden="false" customHeight="true" outlineLevel="0" collapsed="false">
      <c r="A415" s="8" t="n">
        <v>45816</v>
      </c>
      <c r="B415" s="7" t="s">
        <v>161</v>
      </c>
      <c r="C415" s="7" t="s">
        <v>92</v>
      </c>
      <c r="D415" s="7" t="s">
        <v>158</v>
      </c>
      <c r="E415" s="7" t="s">
        <v>159</v>
      </c>
      <c r="F415" s="7" t="s">
        <v>165</v>
      </c>
      <c r="G415" s="7" t="s">
        <v>39</v>
      </c>
      <c r="H415" s="7" t="n">
        <v>47</v>
      </c>
      <c r="I415" s="7" t="n">
        <v>57</v>
      </c>
      <c r="J415" s="7" t="n">
        <v>37</v>
      </c>
      <c r="K415" s="7" t="n">
        <v>97</v>
      </c>
      <c r="L415" s="7" t="n">
        <v>0</v>
      </c>
      <c r="M415" s="22" t="n">
        <v>0</v>
      </c>
      <c r="N415" s="3"/>
      <c r="O415" s="3"/>
      <c r="P415" s="3"/>
    </row>
    <row r="416" customFormat="false" ht="15.75" hidden="false" customHeight="true" outlineLevel="0" collapsed="false">
      <c r="A416" s="8" t="n">
        <v>45816</v>
      </c>
      <c r="B416" s="7" t="s">
        <v>162</v>
      </c>
      <c r="C416" s="7" t="s">
        <v>97</v>
      </c>
      <c r="D416" s="7" t="s">
        <v>158</v>
      </c>
      <c r="E416" s="7" t="s">
        <v>159</v>
      </c>
      <c r="F416" s="7" t="s">
        <v>160</v>
      </c>
      <c r="G416" s="7" t="s">
        <v>39</v>
      </c>
      <c r="H416" s="7" t="n">
        <v>28</v>
      </c>
      <c r="I416" s="7" t="n">
        <v>34</v>
      </c>
      <c r="J416" s="7" t="n">
        <v>20</v>
      </c>
      <c r="K416" s="7" t="n">
        <v>113</v>
      </c>
      <c r="L416" s="7" t="n">
        <v>0</v>
      </c>
      <c r="M416" s="22" t="n">
        <v>0</v>
      </c>
      <c r="N416" s="3"/>
      <c r="O416" s="3"/>
      <c r="P416" s="3"/>
    </row>
    <row r="417" customFormat="false" ht="15.75" hidden="false" customHeight="true" outlineLevel="0" collapsed="false">
      <c r="A417" s="8" t="n">
        <v>45816</v>
      </c>
      <c r="B417" s="7" t="s">
        <v>163</v>
      </c>
      <c r="C417" s="7" t="s">
        <v>97</v>
      </c>
      <c r="D417" s="7" t="s">
        <v>158</v>
      </c>
      <c r="E417" s="7" t="s">
        <v>159</v>
      </c>
      <c r="F417" s="7" t="s">
        <v>160</v>
      </c>
      <c r="G417" s="7" t="s">
        <v>39</v>
      </c>
      <c r="H417" s="7" t="n">
        <v>34</v>
      </c>
      <c r="I417" s="7" t="n">
        <v>42</v>
      </c>
      <c r="J417" s="7" t="n">
        <v>25</v>
      </c>
      <c r="K417" s="7" t="n">
        <v>100</v>
      </c>
      <c r="L417" s="7" t="n">
        <v>0</v>
      </c>
      <c r="M417" s="22" t="n">
        <v>0</v>
      </c>
      <c r="N417" s="3"/>
      <c r="O417" s="3"/>
      <c r="P417" s="3"/>
    </row>
    <row r="418" customFormat="false" ht="15.75" hidden="false" customHeight="true" outlineLevel="0" collapsed="false">
      <c r="A418" s="8" t="n">
        <v>45816</v>
      </c>
      <c r="B418" s="7" t="s">
        <v>164</v>
      </c>
      <c r="C418" s="7" t="s">
        <v>87</v>
      </c>
      <c r="D418" s="7" t="s">
        <v>158</v>
      </c>
      <c r="E418" s="7" t="s">
        <v>159</v>
      </c>
      <c r="F418" s="7" t="s">
        <v>160</v>
      </c>
      <c r="G418" s="7" t="s">
        <v>39</v>
      </c>
      <c r="H418" s="7" t="n">
        <v>28</v>
      </c>
      <c r="I418" s="7" t="n">
        <v>34</v>
      </c>
      <c r="J418" s="7" t="n">
        <v>19</v>
      </c>
      <c r="K418" s="7" t="n">
        <v>71</v>
      </c>
      <c r="L418" s="7" t="n">
        <v>0</v>
      </c>
      <c r="M418" s="22" t="n">
        <v>0</v>
      </c>
      <c r="N418" s="3"/>
      <c r="O418" s="3"/>
      <c r="P418" s="3"/>
    </row>
    <row r="419" customFormat="false" ht="15.75" hidden="false" customHeight="true" outlineLevel="0" collapsed="false">
      <c r="A419" s="8" t="n">
        <v>45816</v>
      </c>
      <c r="B419" s="7" t="s">
        <v>166</v>
      </c>
      <c r="C419" s="7" t="s">
        <v>167</v>
      </c>
      <c r="D419" s="7" t="s">
        <v>158</v>
      </c>
      <c r="E419" s="7" t="s">
        <v>159</v>
      </c>
      <c r="F419" s="7" t="s">
        <v>160</v>
      </c>
      <c r="G419" s="7" t="s">
        <v>39</v>
      </c>
      <c r="H419" s="7" t="n">
        <v>9</v>
      </c>
      <c r="I419" s="7" t="n">
        <v>11</v>
      </c>
      <c r="J419" s="7" t="n">
        <v>6</v>
      </c>
      <c r="K419" s="7" t="n">
        <v>86</v>
      </c>
      <c r="L419" s="7" t="n">
        <v>0</v>
      </c>
      <c r="M419" s="22" t="n">
        <v>0</v>
      </c>
      <c r="N419" s="3"/>
      <c r="O419" s="3"/>
      <c r="P419" s="3"/>
    </row>
    <row r="420" customFormat="false" ht="15.75" hidden="false" customHeight="true" outlineLevel="0" collapsed="false">
      <c r="A420" s="8" t="n">
        <v>45817</v>
      </c>
      <c r="B420" s="7" t="s">
        <v>157</v>
      </c>
      <c r="C420" s="7" t="s">
        <v>92</v>
      </c>
      <c r="D420" s="7" t="s">
        <v>158</v>
      </c>
      <c r="E420" s="7" t="s">
        <v>159</v>
      </c>
      <c r="F420" s="7" t="s">
        <v>160</v>
      </c>
      <c r="G420" s="7" t="s">
        <v>39</v>
      </c>
      <c r="H420" s="7" t="n">
        <v>49</v>
      </c>
      <c r="I420" s="7" t="n">
        <v>60</v>
      </c>
      <c r="J420" s="7" t="n">
        <v>39</v>
      </c>
      <c r="K420" s="7" t="n">
        <v>103</v>
      </c>
      <c r="L420" s="7" t="n">
        <v>0</v>
      </c>
      <c r="M420" s="22" t="n">
        <v>0</v>
      </c>
      <c r="N420" s="3"/>
      <c r="O420" s="3"/>
      <c r="P420" s="3"/>
    </row>
    <row r="421" customFormat="false" ht="15.75" hidden="false" customHeight="true" outlineLevel="0" collapsed="false">
      <c r="A421" s="8" t="n">
        <v>45817</v>
      </c>
      <c r="B421" s="7" t="s">
        <v>161</v>
      </c>
      <c r="C421" s="7" t="s">
        <v>92</v>
      </c>
      <c r="D421" s="7" t="s">
        <v>158</v>
      </c>
      <c r="E421" s="7" t="s">
        <v>159</v>
      </c>
      <c r="F421" s="7" t="s">
        <v>160</v>
      </c>
      <c r="G421" s="7" t="s">
        <v>39</v>
      </c>
      <c r="H421" s="7" t="n">
        <v>37</v>
      </c>
      <c r="I421" s="7" t="n">
        <v>45</v>
      </c>
      <c r="J421" s="7" t="n">
        <v>29</v>
      </c>
      <c r="K421" s="7" t="n">
        <v>94</v>
      </c>
      <c r="L421" s="7" t="n">
        <v>0</v>
      </c>
      <c r="M421" s="22" t="n">
        <v>0</v>
      </c>
      <c r="N421" s="3"/>
      <c r="O421" s="3"/>
      <c r="P421" s="3"/>
    </row>
    <row r="422" customFormat="false" ht="15.75" hidden="false" customHeight="true" outlineLevel="0" collapsed="false">
      <c r="A422" s="8" t="n">
        <v>45817</v>
      </c>
      <c r="B422" s="7" t="s">
        <v>162</v>
      </c>
      <c r="C422" s="7" t="s">
        <v>97</v>
      </c>
      <c r="D422" s="7" t="s">
        <v>158</v>
      </c>
      <c r="E422" s="7" t="s">
        <v>159</v>
      </c>
      <c r="F422" s="7" t="s">
        <v>160</v>
      </c>
      <c r="G422" s="7" t="s">
        <v>39</v>
      </c>
      <c r="H422" s="7" t="n">
        <v>33</v>
      </c>
      <c r="I422" s="7" t="n">
        <v>40</v>
      </c>
      <c r="J422" s="7" t="n">
        <v>24</v>
      </c>
      <c r="K422" s="7" t="n">
        <v>102</v>
      </c>
      <c r="L422" s="7" t="n">
        <v>0</v>
      </c>
      <c r="M422" s="22" t="n">
        <v>0</v>
      </c>
      <c r="N422" s="3"/>
      <c r="O422" s="3"/>
      <c r="P422" s="3"/>
    </row>
    <row r="423" customFormat="false" ht="15.75" hidden="false" customHeight="true" outlineLevel="0" collapsed="false">
      <c r="A423" s="8" t="n">
        <v>45817</v>
      </c>
      <c r="B423" s="7" t="s">
        <v>163</v>
      </c>
      <c r="C423" s="7" t="s">
        <v>97</v>
      </c>
      <c r="D423" s="7" t="s">
        <v>158</v>
      </c>
      <c r="E423" s="7" t="s">
        <v>159</v>
      </c>
      <c r="F423" s="7" t="s">
        <v>165</v>
      </c>
      <c r="G423" s="7" t="s">
        <v>39</v>
      </c>
      <c r="H423" s="7" t="n">
        <v>26</v>
      </c>
      <c r="I423" s="7" t="n">
        <v>32</v>
      </c>
      <c r="J423" s="7" t="n">
        <v>19</v>
      </c>
      <c r="K423" s="7" t="n">
        <v>98</v>
      </c>
      <c r="L423" s="7" t="n">
        <v>0</v>
      </c>
      <c r="M423" s="22" t="n">
        <v>0</v>
      </c>
      <c r="N423" s="3"/>
      <c r="O423" s="3"/>
      <c r="P423" s="3"/>
    </row>
    <row r="424" customFormat="false" ht="15.75" hidden="false" customHeight="true" outlineLevel="0" collapsed="false">
      <c r="A424" s="8" t="n">
        <v>45817</v>
      </c>
      <c r="B424" s="7" t="s">
        <v>164</v>
      </c>
      <c r="C424" s="7" t="s">
        <v>87</v>
      </c>
      <c r="D424" s="7" t="s">
        <v>158</v>
      </c>
      <c r="E424" s="7" t="s">
        <v>159</v>
      </c>
      <c r="F424" s="7" t="s">
        <v>165</v>
      </c>
      <c r="G424" s="7" t="s">
        <v>39</v>
      </c>
      <c r="H424" s="7" t="n">
        <v>30</v>
      </c>
      <c r="I424" s="7" t="n">
        <v>37</v>
      </c>
      <c r="J424" s="7" t="n">
        <v>20</v>
      </c>
      <c r="K424" s="7" t="n">
        <v>65</v>
      </c>
      <c r="L424" s="7" t="n">
        <v>0</v>
      </c>
      <c r="M424" s="22" t="n">
        <v>0</v>
      </c>
      <c r="N424" s="3"/>
      <c r="O424" s="3"/>
      <c r="P424" s="3"/>
    </row>
    <row r="425" customFormat="false" ht="15.75" hidden="false" customHeight="true" outlineLevel="0" collapsed="false">
      <c r="A425" s="8" t="n">
        <v>45817</v>
      </c>
      <c r="B425" s="7" t="s">
        <v>166</v>
      </c>
      <c r="C425" s="7" t="s">
        <v>167</v>
      </c>
      <c r="D425" s="7" t="s">
        <v>158</v>
      </c>
      <c r="E425" s="7" t="s">
        <v>159</v>
      </c>
      <c r="F425" s="7" t="s">
        <v>165</v>
      </c>
      <c r="G425" s="7" t="s">
        <v>39</v>
      </c>
      <c r="H425" s="7" t="n">
        <v>13</v>
      </c>
      <c r="I425" s="7" t="n">
        <v>16</v>
      </c>
      <c r="J425" s="7" t="n">
        <v>8</v>
      </c>
      <c r="K425" s="7" t="n">
        <v>71</v>
      </c>
      <c r="L425" s="7" t="n">
        <v>0</v>
      </c>
      <c r="M425" s="22" t="n">
        <v>0</v>
      </c>
      <c r="N425" s="3"/>
      <c r="O425" s="3"/>
      <c r="P425" s="3"/>
    </row>
    <row r="426" customFormat="false" ht="15.75" hidden="false" customHeight="true" outlineLevel="0" collapsed="false">
      <c r="A426" s="8" t="n">
        <v>45818</v>
      </c>
      <c r="B426" s="7" t="s">
        <v>157</v>
      </c>
      <c r="C426" s="7" t="s">
        <v>92</v>
      </c>
      <c r="D426" s="7" t="s">
        <v>158</v>
      </c>
      <c r="E426" s="7" t="s">
        <v>159</v>
      </c>
      <c r="F426" s="7" t="s">
        <v>160</v>
      </c>
      <c r="G426" s="7" t="s">
        <v>39</v>
      </c>
      <c r="H426" s="7" t="n">
        <v>35</v>
      </c>
      <c r="I426" s="7" t="n">
        <v>43</v>
      </c>
      <c r="J426" s="7" t="n">
        <v>28</v>
      </c>
      <c r="K426" s="7" t="n">
        <v>92</v>
      </c>
      <c r="L426" s="7" t="n">
        <v>0</v>
      </c>
      <c r="M426" s="22" t="n">
        <v>0</v>
      </c>
      <c r="N426" s="3"/>
      <c r="O426" s="3"/>
      <c r="P426" s="3"/>
    </row>
    <row r="427" customFormat="false" ht="15.75" hidden="false" customHeight="true" outlineLevel="0" collapsed="false">
      <c r="A427" s="8" t="n">
        <v>45818</v>
      </c>
      <c r="B427" s="7" t="s">
        <v>161</v>
      </c>
      <c r="C427" s="7" t="s">
        <v>92</v>
      </c>
      <c r="D427" s="7" t="s">
        <v>158</v>
      </c>
      <c r="E427" s="7" t="s">
        <v>159</v>
      </c>
      <c r="F427" s="7" t="s">
        <v>160</v>
      </c>
      <c r="G427" s="7" t="s">
        <v>39</v>
      </c>
      <c r="H427" s="7" t="n">
        <v>47</v>
      </c>
      <c r="I427" s="7" t="n">
        <v>57</v>
      </c>
      <c r="J427" s="7" t="n">
        <v>37</v>
      </c>
      <c r="K427" s="7" t="n">
        <v>84</v>
      </c>
      <c r="L427" s="7" t="n">
        <v>0</v>
      </c>
      <c r="M427" s="22" t="n">
        <v>0</v>
      </c>
      <c r="N427" s="3"/>
      <c r="O427" s="3"/>
      <c r="P427" s="3"/>
    </row>
    <row r="428" customFormat="false" ht="15.75" hidden="false" customHeight="true" outlineLevel="0" collapsed="false">
      <c r="A428" s="8" t="n">
        <v>45818</v>
      </c>
      <c r="B428" s="7" t="s">
        <v>162</v>
      </c>
      <c r="C428" s="7" t="s">
        <v>97</v>
      </c>
      <c r="D428" s="7" t="s">
        <v>158</v>
      </c>
      <c r="E428" s="7" t="s">
        <v>159</v>
      </c>
      <c r="F428" s="7" t="s">
        <v>160</v>
      </c>
      <c r="G428" s="7" t="s">
        <v>39</v>
      </c>
      <c r="H428" s="7" t="n">
        <v>27</v>
      </c>
      <c r="I428" s="7" t="n">
        <v>33</v>
      </c>
      <c r="J428" s="7" t="n">
        <v>19</v>
      </c>
      <c r="K428" s="7" t="n">
        <v>99</v>
      </c>
      <c r="L428" s="7" t="n">
        <v>0</v>
      </c>
      <c r="M428" s="22" t="n">
        <v>0</v>
      </c>
      <c r="N428" s="3"/>
      <c r="O428" s="3"/>
      <c r="P428" s="3"/>
    </row>
    <row r="429" customFormat="false" ht="15.75" hidden="false" customHeight="true" outlineLevel="0" collapsed="false">
      <c r="A429" s="8" t="n">
        <v>45818</v>
      </c>
      <c r="B429" s="7" t="s">
        <v>163</v>
      </c>
      <c r="C429" s="7" t="s">
        <v>97</v>
      </c>
      <c r="D429" s="7" t="s">
        <v>158</v>
      </c>
      <c r="E429" s="7" t="s">
        <v>159</v>
      </c>
      <c r="F429" s="7" t="s">
        <v>160</v>
      </c>
      <c r="G429" s="7" t="s">
        <v>39</v>
      </c>
      <c r="H429" s="7" t="n">
        <v>34</v>
      </c>
      <c r="I429" s="7" t="n">
        <v>42</v>
      </c>
      <c r="J429" s="7" t="n">
        <v>25</v>
      </c>
      <c r="K429" s="7" t="n">
        <v>113</v>
      </c>
      <c r="L429" s="7" t="n">
        <v>0</v>
      </c>
      <c r="M429" s="22" t="n">
        <v>0</v>
      </c>
      <c r="N429" s="3"/>
      <c r="O429" s="3"/>
      <c r="P429" s="3"/>
    </row>
    <row r="430" customFormat="false" ht="15.75" hidden="false" customHeight="true" outlineLevel="0" collapsed="false">
      <c r="A430" s="8" t="n">
        <v>45818</v>
      </c>
      <c r="B430" s="7" t="s">
        <v>164</v>
      </c>
      <c r="C430" s="7" t="s">
        <v>87</v>
      </c>
      <c r="D430" s="7" t="s">
        <v>158</v>
      </c>
      <c r="E430" s="7" t="s">
        <v>159</v>
      </c>
      <c r="F430" s="7" t="s">
        <v>160</v>
      </c>
      <c r="G430" s="7" t="s">
        <v>39</v>
      </c>
      <c r="H430" s="7" t="n">
        <v>32</v>
      </c>
      <c r="I430" s="7" t="n">
        <v>39</v>
      </c>
      <c r="J430" s="7" t="n">
        <v>21</v>
      </c>
      <c r="K430" s="7" t="n">
        <v>85</v>
      </c>
      <c r="L430" s="7" t="n">
        <v>0</v>
      </c>
      <c r="M430" s="22" t="n">
        <v>0</v>
      </c>
      <c r="N430" s="3"/>
      <c r="O430" s="3"/>
      <c r="P430" s="3"/>
    </row>
    <row r="431" customFormat="false" ht="15.75" hidden="false" customHeight="true" outlineLevel="0" collapsed="false">
      <c r="A431" s="8" t="n">
        <v>45818</v>
      </c>
      <c r="B431" s="7" t="s">
        <v>166</v>
      </c>
      <c r="C431" s="7" t="s">
        <v>167</v>
      </c>
      <c r="D431" s="7" t="s">
        <v>158</v>
      </c>
      <c r="E431" s="7" t="s">
        <v>159</v>
      </c>
      <c r="F431" s="7" t="s">
        <v>160</v>
      </c>
      <c r="G431" s="7" t="s">
        <v>39</v>
      </c>
      <c r="H431" s="7" t="n">
        <v>16</v>
      </c>
      <c r="I431" s="7" t="n">
        <v>20</v>
      </c>
      <c r="J431" s="7" t="n">
        <v>11</v>
      </c>
      <c r="K431" s="7" t="n">
        <v>84</v>
      </c>
      <c r="L431" s="7" t="n">
        <v>0</v>
      </c>
      <c r="M431" s="22" t="n">
        <v>0</v>
      </c>
      <c r="N431" s="3"/>
      <c r="O431" s="3"/>
      <c r="P431" s="3"/>
    </row>
    <row r="432" customFormat="false" ht="15.75" hidden="false" customHeight="true" outlineLevel="0" collapsed="false">
      <c r="A432" s="8" t="n">
        <v>45819</v>
      </c>
      <c r="B432" s="7" t="s">
        <v>157</v>
      </c>
      <c r="C432" s="7" t="s">
        <v>92</v>
      </c>
      <c r="D432" s="7" t="s">
        <v>158</v>
      </c>
      <c r="E432" s="7" t="s">
        <v>159</v>
      </c>
      <c r="F432" s="7" t="s">
        <v>160</v>
      </c>
      <c r="G432" s="7" t="s">
        <v>39</v>
      </c>
      <c r="H432" s="7" t="n">
        <v>39</v>
      </c>
      <c r="I432" s="7" t="n">
        <v>48</v>
      </c>
      <c r="J432" s="7" t="n">
        <v>31</v>
      </c>
      <c r="K432" s="7" t="n">
        <v>91</v>
      </c>
      <c r="L432" s="7" t="n">
        <v>0</v>
      </c>
      <c r="M432" s="22" t="n">
        <v>0</v>
      </c>
      <c r="N432" s="3"/>
      <c r="O432" s="3"/>
      <c r="P432" s="3"/>
    </row>
    <row r="433" customFormat="false" ht="15.75" hidden="false" customHeight="true" outlineLevel="0" collapsed="false">
      <c r="A433" s="8" t="n">
        <v>45819</v>
      </c>
      <c r="B433" s="7" t="s">
        <v>161</v>
      </c>
      <c r="C433" s="7" t="s">
        <v>92</v>
      </c>
      <c r="D433" s="7" t="s">
        <v>158</v>
      </c>
      <c r="E433" s="7" t="s">
        <v>159</v>
      </c>
      <c r="F433" s="7" t="s">
        <v>160</v>
      </c>
      <c r="G433" s="7" t="s">
        <v>39</v>
      </c>
      <c r="H433" s="7" t="n">
        <v>44</v>
      </c>
      <c r="I433" s="7" t="n">
        <v>54</v>
      </c>
      <c r="J433" s="7" t="n">
        <v>35</v>
      </c>
      <c r="K433" s="7" t="n">
        <v>87</v>
      </c>
      <c r="L433" s="7" t="n">
        <v>0</v>
      </c>
      <c r="M433" s="22" t="n">
        <v>0</v>
      </c>
      <c r="N433" s="3"/>
      <c r="O433" s="3"/>
      <c r="P433" s="3"/>
    </row>
    <row r="434" customFormat="false" ht="15.75" hidden="false" customHeight="true" outlineLevel="0" collapsed="false">
      <c r="A434" s="8" t="n">
        <v>45819</v>
      </c>
      <c r="B434" s="7" t="s">
        <v>162</v>
      </c>
      <c r="C434" s="7" t="s">
        <v>97</v>
      </c>
      <c r="D434" s="7" t="s">
        <v>158</v>
      </c>
      <c r="E434" s="7" t="s">
        <v>159</v>
      </c>
      <c r="F434" s="7" t="s">
        <v>160</v>
      </c>
      <c r="G434" s="7" t="s">
        <v>39</v>
      </c>
      <c r="H434" s="7" t="n">
        <v>33</v>
      </c>
      <c r="I434" s="7" t="n">
        <v>40</v>
      </c>
      <c r="J434" s="7" t="n">
        <v>24</v>
      </c>
      <c r="K434" s="7" t="n">
        <v>105</v>
      </c>
      <c r="L434" s="7" t="n">
        <v>0</v>
      </c>
      <c r="M434" s="22" t="n">
        <v>0</v>
      </c>
      <c r="N434" s="3"/>
      <c r="O434" s="3"/>
      <c r="P434" s="3"/>
    </row>
    <row r="435" customFormat="false" ht="15.75" hidden="false" customHeight="true" outlineLevel="0" collapsed="false">
      <c r="A435" s="8" t="n">
        <v>45819</v>
      </c>
      <c r="B435" s="7" t="s">
        <v>163</v>
      </c>
      <c r="C435" s="7" t="s">
        <v>97</v>
      </c>
      <c r="D435" s="7" t="s">
        <v>158</v>
      </c>
      <c r="E435" s="7" t="s">
        <v>159</v>
      </c>
      <c r="F435" s="7" t="s">
        <v>160</v>
      </c>
      <c r="G435" s="7" t="s">
        <v>39</v>
      </c>
      <c r="H435" s="7" t="n">
        <v>33</v>
      </c>
      <c r="I435" s="7" t="n">
        <v>40</v>
      </c>
      <c r="J435" s="7" t="n">
        <v>24</v>
      </c>
      <c r="K435" s="7" t="n">
        <v>117</v>
      </c>
      <c r="L435" s="7" t="n">
        <v>0</v>
      </c>
      <c r="M435" s="22" t="n">
        <v>0</v>
      </c>
      <c r="N435" s="3"/>
      <c r="O435" s="3"/>
      <c r="P435" s="3"/>
    </row>
    <row r="436" customFormat="false" ht="15.75" hidden="false" customHeight="true" outlineLevel="0" collapsed="false">
      <c r="A436" s="8" t="n">
        <v>45819</v>
      </c>
      <c r="B436" s="7" t="s">
        <v>164</v>
      </c>
      <c r="C436" s="7" t="s">
        <v>87</v>
      </c>
      <c r="D436" s="7" t="s">
        <v>158</v>
      </c>
      <c r="E436" s="7" t="s">
        <v>159</v>
      </c>
      <c r="F436" s="7" t="s">
        <v>160</v>
      </c>
      <c r="G436" s="7" t="s">
        <v>39</v>
      </c>
      <c r="H436" s="7" t="n">
        <v>19</v>
      </c>
      <c r="I436" s="7" t="n">
        <v>23</v>
      </c>
      <c r="J436" s="7" t="n">
        <v>12</v>
      </c>
      <c r="K436" s="7" t="n">
        <v>86</v>
      </c>
      <c r="L436" s="7" t="n">
        <v>0</v>
      </c>
      <c r="M436" s="22" t="n">
        <v>0</v>
      </c>
      <c r="N436" s="3"/>
      <c r="O436" s="3"/>
      <c r="P436" s="3"/>
    </row>
    <row r="437" customFormat="false" ht="15.75" hidden="false" customHeight="true" outlineLevel="0" collapsed="false">
      <c r="A437" s="8" t="n">
        <v>45819</v>
      </c>
      <c r="B437" s="7" t="s">
        <v>166</v>
      </c>
      <c r="C437" s="7" t="s">
        <v>167</v>
      </c>
      <c r="D437" s="7" t="s">
        <v>158</v>
      </c>
      <c r="E437" s="7" t="s">
        <v>159</v>
      </c>
      <c r="F437" s="7" t="s">
        <v>160</v>
      </c>
      <c r="G437" s="7" t="s">
        <v>39</v>
      </c>
      <c r="H437" s="7" t="n">
        <v>4</v>
      </c>
      <c r="I437" s="7" t="n">
        <v>6</v>
      </c>
      <c r="J437" s="7" t="n">
        <v>3</v>
      </c>
      <c r="K437" s="7" t="n">
        <v>87</v>
      </c>
      <c r="L437" s="7" t="n">
        <v>0</v>
      </c>
      <c r="M437" s="22" t="n">
        <v>0</v>
      </c>
      <c r="N437" s="3"/>
      <c r="O437" s="3"/>
      <c r="P437" s="3"/>
    </row>
    <row r="438" customFormat="false" ht="15.75" hidden="false" customHeight="true" outlineLevel="0" collapsed="false">
      <c r="A438" s="8" t="n">
        <v>45820</v>
      </c>
      <c r="B438" s="7" t="s">
        <v>157</v>
      </c>
      <c r="C438" s="7" t="s">
        <v>92</v>
      </c>
      <c r="D438" s="7" t="s">
        <v>158</v>
      </c>
      <c r="E438" s="7" t="s">
        <v>159</v>
      </c>
      <c r="F438" s="7" t="s">
        <v>160</v>
      </c>
      <c r="G438" s="7" t="s">
        <v>39</v>
      </c>
      <c r="H438" s="7" t="n">
        <v>36</v>
      </c>
      <c r="I438" s="7" t="n">
        <v>44</v>
      </c>
      <c r="J438" s="7" t="n">
        <v>29</v>
      </c>
      <c r="K438" s="7" t="n">
        <v>89</v>
      </c>
      <c r="L438" s="7" t="n">
        <v>0</v>
      </c>
      <c r="M438" s="22" t="n">
        <v>0</v>
      </c>
      <c r="N438" s="3"/>
      <c r="O438" s="3"/>
      <c r="P438" s="3"/>
    </row>
    <row r="439" customFormat="false" ht="15.75" hidden="false" customHeight="true" outlineLevel="0" collapsed="false">
      <c r="A439" s="8" t="n">
        <v>45820</v>
      </c>
      <c r="B439" s="7" t="s">
        <v>161</v>
      </c>
      <c r="C439" s="7" t="s">
        <v>92</v>
      </c>
      <c r="D439" s="7" t="s">
        <v>158</v>
      </c>
      <c r="E439" s="7" t="s">
        <v>159</v>
      </c>
      <c r="F439" s="7" t="s">
        <v>160</v>
      </c>
      <c r="G439" s="7" t="s">
        <v>39</v>
      </c>
      <c r="H439" s="7" t="n">
        <v>37</v>
      </c>
      <c r="I439" s="7" t="n">
        <v>45</v>
      </c>
      <c r="J439" s="7" t="n">
        <v>29</v>
      </c>
      <c r="K439" s="7" t="n">
        <v>107</v>
      </c>
      <c r="L439" s="7" t="n">
        <v>0</v>
      </c>
      <c r="M439" s="22" t="n">
        <v>0</v>
      </c>
      <c r="N439" s="3"/>
      <c r="O439" s="3"/>
      <c r="P439" s="3"/>
    </row>
    <row r="440" customFormat="false" ht="15.75" hidden="false" customHeight="true" outlineLevel="0" collapsed="false">
      <c r="A440" s="8" t="n">
        <v>45820</v>
      </c>
      <c r="B440" s="7" t="s">
        <v>162</v>
      </c>
      <c r="C440" s="7" t="s">
        <v>97</v>
      </c>
      <c r="D440" s="7" t="s">
        <v>158</v>
      </c>
      <c r="E440" s="7" t="s">
        <v>159</v>
      </c>
      <c r="F440" s="7" t="s">
        <v>160</v>
      </c>
      <c r="G440" s="7" t="s">
        <v>39</v>
      </c>
      <c r="H440" s="7" t="n">
        <v>30</v>
      </c>
      <c r="I440" s="7" t="n">
        <v>37</v>
      </c>
      <c r="J440" s="7" t="n">
        <v>22</v>
      </c>
      <c r="K440" s="7" t="n">
        <v>100</v>
      </c>
      <c r="L440" s="7" t="n">
        <v>0</v>
      </c>
      <c r="M440" s="22" t="n">
        <v>0</v>
      </c>
      <c r="N440" s="3"/>
      <c r="O440" s="3"/>
      <c r="P440" s="3"/>
    </row>
    <row r="441" customFormat="false" ht="15.75" hidden="false" customHeight="true" outlineLevel="0" collapsed="false">
      <c r="A441" s="8" t="n">
        <v>45820</v>
      </c>
      <c r="B441" s="7" t="s">
        <v>163</v>
      </c>
      <c r="C441" s="7" t="s">
        <v>97</v>
      </c>
      <c r="D441" s="7" t="s">
        <v>158</v>
      </c>
      <c r="E441" s="7" t="s">
        <v>159</v>
      </c>
      <c r="F441" s="7" t="s">
        <v>160</v>
      </c>
      <c r="G441" s="7" t="s">
        <v>39</v>
      </c>
      <c r="H441" s="7" t="n">
        <v>34</v>
      </c>
      <c r="I441" s="7" t="n">
        <v>41</v>
      </c>
      <c r="J441" s="7" t="n">
        <v>24</v>
      </c>
      <c r="K441" s="7" t="n">
        <v>113</v>
      </c>
      <c r="L441" s="7" t="n">
        <v>0</v>
      </c>
      <c r="M441" s="22" t="n">
        <v>0</v>
      </c>
      <c r="N441" s="3"/>
      <c r="O441" s="3"/>
      <c r="P441" s="3"/>
    </row>
    <row r="442" customFormat="false" ht="15.75" hidden="false" customHeight="true" outlineLevel="0" collapsed="false">
      <c r="A442" s="8" t="n">
        <v>45820</v>
      </c>
      <c r="B442" s="7" t="s">
        <v>164</v>
      </c>
      <c r="C442" s="7" t="s">
        <v>87</v>
      </c>
      <c r="D442" s="7" t="s">
        <v>158</v>
      </c>
      <c r="E442" s="7" t="s">
        <v>159</v>
      </c>
      <c r="F442" s="7" t="s">
        <v>160</v>
      </c>
      <c r="G442" s="7" t="s">
        <v>39</v>
      </c>
      <c r="H442" s="7" t="n">
        <v>27</v>
      </c>
      <c r="I442" s="7" t="n">
        <v>33</v>
      </c>
      <c r="J442" s="7" t="n">
        <v>18</v>
      </c>
      <c r="K442" s="7" t="n">
        <v>72</v>
      </c>
      <c r="L442" s="7" t="n">
        <v>0</v>
      </c>
      <c r="M442" s="22" t="n">
        <v>0</v>
      </c>
      <c r="N442" s="3"/>
      <c r="O442" s="3"/>
      <c r="P442" s="3"/>
    </row>
    <row r="443" customFormat="false" ht="15.75" hidden="false" customHeight="true" outlineLevel="0" collapsed="false">
      <c r="A443" s="8" t="n">
        <v>45820</v>
      </c>
      <c r="B443" s="7" t="s">
        <v>166</v>
      </c>
      <c r="C443" s="7" t="s">
        <v>167</v>
      </c>
      <c r="D443" s="7" t="s">
        <v>158</v>
      </c>
      <c r="E443" s="7" t="s">
        <v>159</v>
      </c>
      <c r="F443" s="7" t="s">
        <v>160</v>
      </c>
      <c r="G443" s="7" t="s">
        <v>39</v>
      </c>
      <c r="H443" s="7" t="n">
        <v>10</v>
      </c>
      <c r="I443" s="7" t="n">
        <v>13</v>
      </c>
      <c r="J443" s="7" t="n">
        <v>7</v>
      </c>
      <c r="K443" s="7" t="n">
        <v>68</v>
      </c>
      <c r="L443" s="7" t="n">
        <v>0</v>
      </c>
      <c r="M443" s="22" t="n">
        <v>0</v>
      </c>
      <c r="N443" s="3"/>
      <c r="O443" s="3"/>
      <c r="P443" s="3"/>
    </row>
    <row r="444" customFormat="false" ht="15.75" hidden="false" customHeight="true" outlineLevel="0" collapsed="false">
      <c r="A444" s="8" t="n">
        <v>45821</v>
      </c>
      <c r="B444" s="7" t="s">
        <v>157</v>
      </c>
      <c r="C444" s="7" t="s">
        <v>92</v>
      </c>
      <c r="D444" s="7" t="s">
        <v>158</v>
      </c>
      <c r="E444" s="7" t="s">
        <v>159</v>
      </c>
      <c r="F444" s="7" t="s">
        <v>160</v>
      </c>
      <c r="G444" s="7" t="s">
        <v>39</v>
      </c>
      <c r="H444" s="7" t="n">
        <v>39</v>
      </c>
      <c r="I444" s="7" t="n">
        <v>47</v>
      </c>
      <c r="J444" s="7" t="n">
        <v>31</v>
      </c>
      <c r="K444" s="7" t="n">
        <v>94</v>
      </c>
      <c r="L444" s="7" t="n">
        <v>0</v>
      </c>
      <c r="M444" s="22" t="n">
        <v>0</v>
      </c>
      <c r="N444" s="3"/>
      <c r="O444" s="3"/>
      <c r="P444" s="3"/>
    </row>
    <row r="445" customFormat="false" ht="15.75" hidden="false" customHeight="true" outlineLevel="0" collapsed="false">
      <c r="A445" s="8" t="n">
        <v>45821</v>
      </c>
      <c r="B445" s="7" t="s">
        <v>161</v>
      </c>
      <c r="C445" s="7" t="s">
        <v>92</v>
      </c>
      <c r="D445" s="7" t="s">
        <v>158</v>
      </c>
      <c r="E445" s="7" t="s">
        <v>159</v>
      </c>
      <c r="F445" s="7" t="s">
        <v>160</v>
      </c>
      <c r="G445" s="7" t="s">
        <v>39</v>
      </c>
      <c r="H445" s="7" t="n">
        <v>48</v>
      </c>
      <c r="I445" s="7" t="n">
        <v>58</v>
      </c>
      <c r="J445" s="7" t="n">
        <v>38</v>
      </c>
      <c r="K445" s="7" t="n">
        <v>85</v>
      </c>
      <c r="L445" s="7" t="n">
        <v>0</v>
      </c>
      <c r="M445" s="22" t="n">
        <v>0</v>
      </c>
      <c r="N445" s="3"/>
      <c r="O445" s="3"/>
      <c r="P445" s="3"/>
    </row>
    <row r="446" customFormat="false" ht="15.75" hidden="false" customHeight="true" outlineLevel="0" collapsed="false">
      <c r="A446" s="8" t="n">
        <v>45821</v>
      </c>
      <c r="B446" s="7" t="s">
        <v>162</v>
      </c>
      <c r="C446" s="7" t="s">
        <v>97</v>
      </c>
      <c r="D446" s="7" t="s">
        <v>158</v>
      </c>
      <c r="E446" s="7" t="s">
        <v>159</v>
      </c>
      <c r="F446" s="7" t="s">
        <v>160</v>
      </c>
      <c r="G446" s="7" t="s">
        <v>39</v>
      </c>
      <c r="H446" s="7" t="n">
        <v>34</v>
      </c>
      <c r="I446" s="7" t="n">
        <v>42</v>
      </c>
      <c r="J446" s="7" t="n">
        <v>25</v>
      </c>
      <c r="K446" s="7" t="n">
        <v>102</v>
      </c>
      <c r="L446" s="7" t="n">
        <v>0</v>
      </c>
      <c r="M446" s="22" t="n">
        <v>0</v>
      </c>
      <c r="N446" s="3"/>
      <c r="O446" s="3"/>
      <c r="P446" s="3"/>
    </row>
    <row r="447" customFormat="false" ht="15.75" hidden="false" customHeight="true" outlineLevel="0" collapsed="false">
      <c r="A447" s="8" t="n">
        <v>45821</v>
      </c>
      <c r="B447" s="7" t="s">
        <v>163</v>
      </c>
      <c r="C447" s="7" t="s">
        <v>97</v>
      </c>
      <c r="D447" s="7" t="s">
        <v>158</v>
      </c>
      <c r="E447" s="7" t="s">
        <v>159</v>
      </c>
      <c r="F447" s="7" t="s">
        <v>165</v>
      </c>
      <c r="G447" s="7" t="s">
        <v>39</v>
      </c>
      <c r="H447" s="7" t="n">
        <v>38</v>
      </c>
      <c r="I447" s="7" t="n">
        <v>46</v>
      </c>
      <c r="J447" s="7" t="n">
        <v>27</v>
      </c>
      <c r="K447" s="7" t="n">
        <v>107</v>
      </c>
      <c r="L447" s="7" t="n">
        <v>0</v>
      </c>
      <c r="M447" s="22" t="n">
        <v>0</v>
      </c>
      <c r="N447" s="3"/>
      <c r="O447" s="3"/>
      <c r="P447" s="3"/>
    </row>
    <row r="448" customFormat="false" ht="15.75" hidden="false" customHeight="true" outlineLevel="0" collapsed="false">
      <c r="A448" s="8" t="n">
        <v>45821</v>
      </c>
      <c r="B448" s="7" t="s">
        <v>164</v>
      </c>
      <c r="C448" s="7" t="s">
        <v>87</v>
      </c>
      <c r="D448" s="7" t="s">
        <v>158</v>
      </c>
      <c r="E448" s="7" t="s">
        <v>159</v>
      </c>
      <c r="F448" s="7" t="s">
        <v>165</v>
      </c>
      <c r="G448" s="7" t="s">
        <v>39</v>
      </c>
      <c r="H448" s="7" t="n">
        <v>29</v>
      </c>
      <c r="I448" s="7" t="n">
        <v>35</v>
      </c>
      <c r="J448" s="7" t="n">
        <v>19</v>
      </c>
      <c r="K448" s="7" t="n">
        <v>66</v>
      </c>
      <c r="L448" s="7" t="n">
        <v>0</v>
      </c>
      <c r="M448" s="22" t="n">
        <v>0</v>
      </c>
      <c r="N448" s="3"/>
      <c r="O448" s="3"/>
      <c r="P448" s="3"/>
    </row>
    <row r="449" customFormat="false" ht="15.75" hidden="false" customHeight="true" outlineLevel="0" collapsed="false">
      <c r="A449" s="8" t="n">
        <v>45821</v>
      </c>
      <c r="B449" s="7" t="s">
        <v>166</v>
      </c>
      <c r="C449" s="7" t="s">
        <v>167</v>
      </c>
      <c r="D449" s="7" t="s">
        <v>158</v>
      </c>
      <c r="E449" s="7" t="s">
        <v>159</v>
      </c>
      <c r="F449" s="7" t="s">
        <v>160</v>
      </c>
      <c r="G449" s="7" t="s">
        <v>39</v>
      </c>
      <c r="H449" s="7" t="n">
        <v>14</v>
      </c>
      <c r="I449" s="7" t="n">
        <v>18</v>
      </c>
      <c r="J449" s="7" t="n">
        <v>10</v>
      </c>
      <c r="K449" s="7" t="n">
        <v>71</v>
      </c>
      <c r="L449" s="7" t="n">
        <v>0</v>
      </c>
      <c r="M449" s="22" t="n">
        <v>0</v>
      </c>
      <c r="N449" s="3"/>
      <c r="O449" s="3"/>
      <c r="P449" s="3"/>
    </row>
    <row r="450" customFormat="false" ht="15.75" hidden="false" customHeight="true" outlineLevel="0" collapsed="false">
      <c r="A450" s="8" t="n">
        <v>45822</v>
      </c>
      <c r="B450" s="7" t="s">
        <v>157</v>
      </c>
      <c r="C450" s="7" t="s">
        <v>92</v>
      </c>
      <c r="D450" s="7" t="s">
        <v>158</v>
      </c>
      <c r="E450" s="7" t="s">
        <v>159</v>
      </c>
      <c r="F450" s="7" t="s">
        <v>160</v>
      </c>
      <c r="G450" s="7" t="s">
        <v>39</v>
      </c>
      <c r="H450" s="7" t="n">
        <v>49</v>
      </c>
      <c r="I450" s="7" t="n">
        <v>60</v>
      </c>
      <c r="J450" s="7" t="n">
        <v>39</v>
      </c>
      <c r="K450" s="7" t="n">
        <v>92</v>
      </c>
      <c r="L450" s="7" t="n">
        <v>0</v>
      </c>
      <c r="M450" s="22" t="n">
        <v>0</v>
      </c>
      <c r="N450" s="3"/>
      <c r="O450" s="3"/>
      <c r="P450" s="3"/>
    </row>
    <row r="451" customFormat="false" ht="15.75" hidden="false" customHeight="true" outlineLevel="0" collapsed="false">
      <c r="A451" s="8" t="n">
        <v>45822</v>
      </c>
      <c r="B451" s="7" t="s">
        <v>161</v>
      </c>
      <c r="C451" s="7" t="s">
        <v>92</v>
      </c>
      <c r="D451" s="7" t="s">
        <v>158</v>
      </c>
      <c r="E451" s="7" t="s">
        <v>159</v>
      </c>
      <c r="F451" s="7" t="s">
        <v>160</v>
      </c>
      <c r="G451" s="7" t="s">
        <v>39</v>
      </c>
      <c r="H451" s="7" t="n">
        <v>41</v>
      </c>
      <c r="I451" s="7" t="n">
        <v>50</v>
      </c>
      <c r="J451" s="7" t="n">
        <v>33</v>
      </c>
      <c r="K451" s="7" t="n">
        <v>85</v>
      </c>
      <c r="L451" s="7" t="n">
        <v>0</v>
      </c>
      <c r="M451" s="22" t="n">
        <v>0</v>
      </c>
      <c r="N451" s="3"/>
      <c r="O451" s="3"/>
      <c r="P451" s="3"/>
    </row>
    <row r="452" customFormat="false" ht="15.75" hidden="false" customHeight="true" outlineLevel="0" collapsed="false">
      <c r="A452" s="8" t="n">
        <v>45822</v>
      </c>
      <c r="B452" s="7" t="s">
        <v>162</v>
      </c>
      <c r="C452" s="7" t="s">
        <v>97</v>
      </c>
      <c r="D452" s="7" t="s">
        <v>158</v>
      </c>
      <c r="E452" s="7" t="s">
        <v>159</v>
      </c>
      <c r="F452" s="7" t="s">
        <v>160</v>
      </c>
      <c r="G452" s="7" t="s">
        <v>39</v>
      </c>
      <c r="H452" s="7" t="n">
        <v>32</v>
      </c>
      <c r="I452" s="7" t="n">
        <v>39</v>
      </c>
      <c r="J452" s="7" t="n">
        <v>23</v>
      </c>
      <c r="K452" s="7" t="n">
        <v>109</v>
      </c>
      <c r="L452" s="7" t="n">
        <v>0</v>
      </c>
      <c r="M452" s="22" t="n">
        <v>0</v>
      </c>
      <c r="N452" s="3"/>
      <c r="O452" s="3"/>
      <c r="P452" s="3"/>
    </row>
    <row r="453" customFormat="false" ht="15.75" hidden="false" customHeight="true" outlineLevel="0" collapsed="false">
      <c r="A453" s="8" t="n">
        <v>45822</v>
      </c>
      <c r="B453" s="7" t="s">
        <v>163</v>
      </c>
      <c r="C453" s="7" t="s">
        <v>97</v>
      </c>
      <c r="D453" s="7" t="s">
        <v>158</v>
      </c>
      <c r="E453" s="7" t="s">
        <v>159</v>
      </c>
      <c r="F453" s="7" t="s">
        <v>160</v>
      </c>
      <c r="G453" s="7" t="s">
        <v>39</v>
      </c>
      <c r="H453" s="7" t="n">
        <v>28</v>
      </c>
      <c r="I453" s="7" t="n">
        <v>34</v>
      </c>
      <c r="J453" s="7" t="n">
        <v>20</v>
      </c>
      <c r="K453" s="7" t="n">
        <v>118</v>
      </c>
      <c r="L453" s="7" t="n">
        <v>0</v>
      </c>
      <c r="M453" s="22" t="n">
        <v>0</v>
      </c>
      <c r="N453" s="3"/>
      <c r="O453" s="3"/>
      <c r="P453" s="3"/>
    </row>
    <row r="454" customFormat="false" ht="15.75" hidden="false" customHeight="true" outlineLevel="0" collapsed="false">
      <c r="A454" s="8" t="n">
        <v>45822</v>
      </c>
      <c r="B454" s="7" t="s">
        <v>164</v>
      </c>
      <c r="C454" s="7" t="s">
        <v>87</v>
      </c>
      <c r="D454" s="7" t="s">
        <v>158</v>
      </c>
      <c r="E454" s="7" t="s">
        <v>159</v>
      </c>
      <c r="F454" s="7" t="s">
        <v>160</v>
      </c>
      <c r="G454" s="7" t="s">
        <v>39</v>
      </c>
      <c r="H454" s="7" t="n">
        <v>27</v>
      </c>
      <c r="I454" s="7" t="n">
        <v>33</v>
      </c>
      <c r="J454" s="7" t="n">
        <v>18</v>
      </c>
      <c r="K454" s="7" t="n">
        <v>74</v>
      </c>
      <c r="L454" s="7" t="n">
        <v>0</v>
      </c>
      <c r="M454" s="22" t="n">
        <v>0</v>
      </c>
      <c r="N454" s="3"/>
      <c r="O454" s="3"/>
      <c r="P454" s="3"/>
    </row>
    <row r="455" customFormat="false" ht="15.75" hidden="false" customHeight="true" outlineLevel="0" collapsed="false">
      <c r="A455" s="8" t="n">
        <v>45822</v>
      </c>
      <c r="B455" s="7" t="s">
        <v>166</v>
      </c>
      <c r="C455" s="7" t="s">
        <v>167</v>
      </c>
      <c r="D455" s="7" t="s">
        <v>158</v>
      </c>
      <c r="E455" s="7" t="s">
        <v>159</v>
      </c>
      <c r="F455" s="7" t="s">
        <v>160</v>
      </c>
      <c r="G455" s="7" t="s">
        <v>39</v>
      </c>
      <c r="H455" s="7" t="n">
        <v>9</v>
      </c>
      <c r="I455" s="7" t="n">
        <v>12</v>
      </c>
      <c r="J455" s="7" t="n">
        <v>6</v>
      </c>
      <c r="K455" s="7" t="n">
        <v>87</v>
      </c>
      <c r="L455" s="7" t="n">
        <v>0</v>
      </c>
      <c r="M455" s="22" t="n">
        <v>0</v>
      </c>
      <c r="N455" s="3"/>
      <c r="O455" s="3"/>
      <c r="P455" s="3"/>
    </row>
    <row r="456" customFormat="false" ht="15.75" hidden="false" customHeight="true" outlineLevel="0" collapsed="false">
      <c r="A456" s="8" t="n">
        <v>45823</v>
      </c>
      <c r="B456" s="7" t="s">
        <v>157</v>
      </c>
      <c r="C456" s="7" t="s">
        <v>92</v>
      </c>
      <c r="D456" s="7" t="s">
        <v>158</v>
      </c>
      <c r="E456" s="7" t="s">
        <v>159</v>
      </c>
      <c r="F456" s="7" t="s">
        <v>160</v>
      </c>
      <c r="G456" s="7" t="s">
        <v>39</v>
      </c>
      <c r="H456" s="7" t="n">
        <v>48</v>
      </c>
      <c r="I456" s="7" t="n">
        <v>59</v>
      </c>
      <c r="J456" s="7" t="n">
        <v>38</v>
      </c>
      <c r="K456" s="7" t="n">
        <v>96</v>
      </c>
      <c r="L456" s="7" t="n">
        <v>0</v>
      </c>
      <c r="M456" s="22" t="n">
        <v>0</v>
      </c>
      <c r="N456" s="3"/>
      <c r="O456" s="3"/>
      <c r="P456" s="3"/>
    </row>
    <row r="457" customFormat="false" ht="15.75" hidden="false" customHeight="true" outlineLevel="0" collapsed="false">
      <c r="A457" s="8" t="n">
        <v>45823</v>
      </c>
      <c r="B457" s="7" t="s">
        <v>161</v>
      </c>
      <c r="C457" s="7" t="s">
        <v>92</v>
      </c>
      <c r="D457" s="7" t="s">
        <v>158</v>
      </c>
      <c r="E457" s="7" t="s">
        <v>159</v>
      </c>
      <c r="F457" s="7" t="s">
        <v>160</v>
      </c>
      <c r="G457" s="7" t="s">
        <v>39</v>
      </c>
      <c r="H457" s="7" t="n">
        <v>41</v>
      </c>
      <c r="I457" s="7" t="n">
        <v>50</v>
      </c>
      <c r="J457" s="7" t="n">
        <v>33</v>
      </c>
      <c r="K457" s="7" t="n">
        <v>85</v>
      </c>
      <c r="L457" s="7" t="n">
        <v>0</v>
      </c>
      <c r="M457" s="22" t="n">
        <v>0</v>
      </c>
      <c r="N457" s="3"/>
      <c r="O457" s="3"/>
      <c r="P457" s="3"/>
    </row>
    <row r="458" customFormat="false" ht="15.75" hidden="false" customHeight="true" outlineLevel="0" collapsed="false">
      <c r="A458" s="8" t="n">
        <v>45823</v>
      </c>
      <c r="B458" s="7" t="s">
        <v>162</v>
      </c>
      <c r="C458" s="7" t="s">
        <v>97</v>
      </c>
      <c r="D458" s="7" t="s">
        <v>158</v>
      </c>
      <c r="E458" s="7" t="s">
        <v>159</v>
      </c>
      <c r="F458" s="7" t="s">
        <v>160</v>
      </c>
      <c r="G458" s="7" t="s">
        <v>39</v>
      </c>
      <c r="H458" s="7" t="n">
        <v>35</v>
      </c>
      <c r="I458" s="7" t="n">
        <v>43</v>
      </c>
      <c r="J458" s="7" t="n">
        <v>25</v>
      </c>
      <c r="K458" s="7" t="n">
        <v>110</v>
      </c>
      <c r="L458" s="7" t="n">
        <v>0</v>
      </c>
      <c r="M458" s="22" t="n">
        <v>0</v>
      </c>
      <c r="N458" s="3"/>
      <c r="O458" s="3"/>
      <c r="P458" s="3"/>
    </row>
    <row r="459" customFormat="false" ht="15.75" hidden="false" customHeight="true" outlineLevel="0" collapsed="false">
      <c r="A459" s="8" t="n">
        <v>45823</v>
      </c>
      <c r="B459" s="7" t="s">
        <v>163</v>
      </c>
      <c r="C459" s="7" t="s">
        <v>97</v>
      </c>
      <c r="D459" s="7" t="s">
        <v>158</v>
      </c>
      <c r="E459" s="7" t="s">
        <v>159</v>
      </c>
      <c r="F459" s="7" t="s">
        <v>160</v>
      </c>
      <c r="G459" s="7" t="s">
        <v>39</v>
      </c>
      <c r="H459" s="7" t="n">
        <v>27</v>
      </c>
      <c r="I459" s="7" t="n">
        <v>33</v>
      </c>
      <c r="J459" s="7" t="n">
        <v>19</v>
      </c>
      <c r="K459" s="7" t="n">
        <v>119</v>
      </c>
      <c r="L459" s="7" t="n">
        <v>0</v>
      </c>
      <c r="M459" s="22" t="n">
        <v>0</v>
      </c>
      <c r="N459" s="3"/>
      <c r="O459" s="3"/>
      <c r="P459" s="3"/>
    </row>
    <row r="460" customFormat="false" ht="15.75" hidden="false" customHeight="true" outlineLevel="0" collapsed="false">
      <c r="A460" s="8" t="n">
        <v>45823</v>
      </c>
      <c r="B460" s="7" t="s">
        <v>164</v>
      </c>
      <c r="C460" s="7" t="s">
        <v>87</v>
      </c>
      <c r="D460" s="7" t="s">
        <v>158</v>
      </c>
      <c r="E460" s="7" t="s">
        <v>159</v>
      </c>
      <c r="F460" s="7" t="s">
        <v>165</v>
      </c>
      <c r="G460" s="7" t="s">
        <v>39</v>
      </c>
      <c r="H460" s="7" t="n">
        <v>31</v>
      </c>
      <c r="I460" s="7" t="n">
        <v>38</v>
      </c>
      <c r="J460" s="7" t="n">
        <v>21</v>
      </c>
      <c r="K460" s="7" t="n">
        <v>74</v>
      </c>
      <c r="L460" s="7" t="n">
        <v>0</v>
      </c>
      <c r="M460" s="22" t="n">
        <v>0</v>
      </c>
      <c r="N460" s="3"/>
      <c r="O460" s="3"/>
      <c r="P460" s="3"/>
    </row>
    <row r="461" customFormat="false" ht="15.75" hidden="false" customHeight="true" outlineLevel="0" collapsed="false">
      <c r="A461" s="8" t="n">
        <v>45823</v>
      </c>
      <c r="B461" s="7" t="s">
        <v>166</v>
      </c>
      <c r="C461" s="7" t="s">
        <v>167</v>
      </c>
      <c r="D461" s="7" t="s">
        <v>158</v>
      </c>
      <c r="E461" s="7" t="s">
        <v>159</v>
      </c>
      <c r="F461" s="7" t="s">
        <v>160</v>
      </c>
      <c r="G461" s="7" t="s">
        <v>39</v>
      </c>
      <c r="H461" s="7" t="n">
        <v>8</v>
      </c>
      <c r="I461" s="7" t="n">
        <v>10</v>
      </c>
      <c r="J461" s="7" t="n">
        <v>5</v>
      </c>
      <c r="K461" s="7" t="n">
        <v>82</v>
      </c>
      <c r="L461" s="7" t="n">
        <v>0</v>
      </c>
      <c r="M461" s="22" t="n">
        <v>0</v>
      </c>
      <c r="N461" s="3"/>
      <c r="O461" s="3"/>
      <c r="P461" s="3"/>
    </row>
    <row r="462" customFormat="false" ht="15.75" hidden="false" customHeight="true" outlineLevel="0" collapsed="false">
      <c r="A462" s="8" t="n">
        <v>45824</v>
      </c>
      <c r="B462" s="7" t="s">
        <v>157</v>
      </c>
      <c r="C462" s="7" t="s">
        <v>92</v>
      </c>
      <c r="D462" s="7" t="s">
        <v>158</v>
      </c>
      <c r="E462" s="7" t="s">
        <v>159</v>
      </c>
      <c r="F462" s="7" t="s">
        <v>160</v>
      </c>
      <c r="G462" s="7" t="s">
        <v>39</v>
      </c>
      <c r="H462" s="7" t="n">
        <v>41</v>
      </c>
      <c r="I462" s="7" t="n">
        <v>50</v>
      </c>
      <c r="J462" s="7" t="n">
        <v>33</v>
      </c>
      <c r="K462" s="7" t="n">
        <v>104</v>
      </c>
      <c r="L462" s="7" t="n">
        <v>0</v>
      </c>
      <c r="M462" s="22" t="n">
        <v>0</v>
      </c>
      <c r="N462" s="3"/>
      <c r="O462" s="3"/>
      <c r="P462" s="3"/>
    </row>
    <row r="463" customFormat="false" ht="15.75" hidden="false" customHeight="true" outlineLevel="0" collapsed="false">
      <c r="A463" s="8" t="n">
        <v>45824</v>
      </c>
      <c r="B463" s="7" t="s">
        <v>161</v>
      </c>
      <c r="C463" s="7" t="s">
        <v>92</v>
      </c>
      <c r="D463" s="7" t="s">
        <v>158</v>
      </c>
      <c r="E463" s="7" t="s">
        <v>159</v>
      </c>
      <c r="F463" s="7" t="s">
        <v>160</v>
      </c>
      <c r="G463" s="7" t="s">
        <v>39</v>
      </c>
      <c r="H463" s="7" t="n">
        <v>34</v>
      </c>
      <c r="I463" s="7" t="n">
        <v>42</v>
      </c>
      <c r="J463" s="7" t="n">
        <v>27</v>
      </c>
      <c r="K463" s="7" t="n">
        <v>100</v>
      </c>
      <c r="L463" s="7" t="n">
        <v>0</v>
      </c>
      <c r="M463" s="22" t="n">
        <v>0</v>
      </c>
      <c r="N463" s="3"/>
      <c r="O463" s="3"/>
      <c r="P463" s="3"/>
    </row>
    <row r="464" customFormat="false" ht="15.75" hidden="false" customHeight="true" outlineLevel="0" collapsed="false">
      <c r="A464" s="8" t="n">
        <v>45824</v>
      </c>
      <c r="B464" s="7" t="s">
        <v>162</v>
      </c>
      <c r="C464" s="7" t="s">
        <v>97</v>
      </c>
      <c r="D464" s="7" t="s">
        <v>158</v>
      </c>
      <c r="E464" s="7" t="s">
        <v>159</v>
      </c>
      <c r="F464" s="7" t="s">
        <v>160</v>
      </c>
      <c r="G464" s="7" t="s">
        <v>39</v>
      </c>
      <c r="H464" s="7" t="n">
        <v>38</v>
      </c>
      <c r="I464" s="7" t="n">
        <v>46</v>
      </c>
      <c r="J464" s="7" t="n">
        <v>27</v>
      </c>
      <c r="K464" s="7" t="n">
        <v>113</v>
      </c>
      <c r="L464" s="7" t="n">
        <v>0</v>
      </c>
      <c r="M464" s="22" t="n">
        <v>0</v>
      </c>
      <c r="N464" s="3"/>
      <c r="O464" s="3"/>
      <c r="P464" s="3"/>
    </row>
    <row r="465" customFormat="false" ht="15.75" hidden="false" customHeight="true" outlineLevel="0" collapsed="false">
      <c r="A465" s="8" t="n">
        <v>45824</v>
      </c>
      <c r="B465" s="7" t="s">
        <v>163</v>
      </c>
      <c r="C465" s="7" t="s">
        <v>97</v>
      </c>
      <c r="D465" s="7" t="s">
        <v>158</v>
      </c>
      <c r="E465" s="7" t="s">
        <v>159</v>
      </c>
      <c r="F465" s="7" t="s">
        <v>165</v>
      </c>
      <c r="G465" s="7" t="s">
        <v>39</v>
      </c>
      <c r="H465" s="7" t="n">
        <v>38</v>
      </c>
      <c r="I465" s="7" t="n">
        <v>46</v>
      </c>
      <c r="J465" s="7" t="n">
        <v>27</v>
      </c>
      <c r="K465" s="7" t="n">
        <v>100</v>
      </c>
      <c r="L465" s="7" t="n">
        <v>0</v>
      </c>
      <c r="M465" s="22" t="n">
        <v>0</v>
      </c>
      <c r="N465" s="3"/>
      <c r="O465" s="3"/>
      <c r="P465" s="3"/>
    </row>
    <row r="466" customFormat="false" ht="15.75" hidden="false" customHeight="true" outlineLevel="0" collapsed="false">
      <c r="A466" s="8" t="n">
        <v>45824</v>
      </c>
      <c r="B466" s="7" t="s">
        <v>164</v>
      </c>
      <c r="C466" s="7" t="s">
        <v>87</v>
      </c>
      <c r="D466" s="7" t="s">
        <v>158</v>
      </c>
      <c r="E466" s="7" t="s">
        <v>159</v>
      </c>
      <c r="F466" s="7" t="s">
        <v>160</v>
      </c>
      <c r="G466" s="7" t="s">
        <v>39</v>
      </c>
      <c r="H466" s="7" t="n">
        <v>27</v>
      </c>
      <c r="I466" s="7" t="n">
        <v>33</v>
      </c>
      <c r="J466" s="7" t="n">
        <v>18</v>
      </c>
      <c r="K466" s="7" t="n">
        <v>71</v>
      </c>
      <c r="L466" s="7" t="n">
        <v>0</v>
      </c>
      <c r="M466" s="22" t="n">
        <v>0</v>
      </c>
      <c r="N466" s="3"/>
      <c r="O466" s="3"/>
      <c r="P466" s="3"/>
    </row>
    <row r="467" customFormat="false" ht="15.75" hidden="false" customHeight="true" outlineLevel="0" collapsed="false">
      <c r="A467" s="8" t="n">
        <v>45824</v>
      </c>
      <c r="B467" s="7" t="s">
        <v>166</v>
      </c>
      <c r="C467" s="7" t="s">
        <v>167</v>
      </c>
      <c r="D467" s="7" t="s">
        <v>158</v>
      </c>
      <c r="E467" s="7" t="s">
        <v>159</v>
      </c>
      <c r="F467" s="7" t="s">
        <v>160</v>
      </c>
      <c r="G467" s="7" t="s">
        <v>39</v>
      </c>
      <c r="H467" s="7" t="n">
        <v>4</v>
      </c>
      <c r="I467" s="7" t="n">
        <v>6</v>
      </c>
      <c r="J467" s="7" t="n">
        <v>3</v>
      </c>
      <c r="K467" s="7" t="n">
        <v>73</v>
      </c>
      <c r="L467" s="7" t="n">
        <v>0</v>
      </c>
      <c r="M467" s="22" t="n">
        <v>0</v>
      </c>
      <c r="N467" s="3"/>
      <c r="O467" s="3"/>
      <c r="P467" s="3"/>
    </row>
    <row r="468" customFormat="false" ht="15.75" hidden="false" customHeight="true" outlineLevel="0" collapsed="false">
      <c r="A468" s="8" t="n">
        <v>45825</v>
      </c>
      <c r="B468" s="7" t="s">
        <v>157</v>
      </c>
      <c r="C468" s="7" t="s">
        <v>92</v>
      </c>
      <c r="D468" s="7" t="s">
        <v>158</v>
      </c>
      <c r="E468" s="7" t="s">
        <v>159</v>
      </c>
      <c r="F468" s="7" t="s">
        <v>165</v>
      </c>
      <c r="G468" s="7" t="s">
        <v>39</v>
      </c>
      <c r="H468" s="7" t="n">
        <v>44</v>
      </c>
      <c r="I468" s="7" t="n">
        <v>54</v>
      </c>
      <c r="J468" s="7" t="n">
        <v>35</v>
      </c>
      <c r="K468" s="7" t="n">
        <v>104</v>
      </c>
      <c r="L468" s="7" t="n">
        <v>0</v>
      </c>
      <c r="M468" s="22" t="n">
        <v>0</v>
      </c>
      <c r="N468" s="3"/>
      <c r="O468" s="3"/>
      <c r="P468" s="3"/>
    </row>
    <row r="469" customFormat="false" ht="15.75" hidden="false" customHeight="true" outlineLevel="0" collapsed="false">
      <c r="A469" s="8" t="n">
        <v>45825</v>
      </c>
      <c r="B469" s="7" t="s">
        <v>161</v>
      </c>
      <c r="C469" s="7" t="s">
        <v>92</v>
      </c>
      <c r="D469" s="7" t="s">
        <v>158</v>
      </c>
      <c r="E469" s="7" t="s">
        <v>159</v>
      </c>
      <c r="F469" s="7" t="s">
        <v>160</v>
      </c>
      <c r="G469" s="7" t="s">
        <v>39</v>
      </c>
      <c r="H469" s="7" t="n">
        <v>39</v>
      </c>
      <c r="I469" s="7" t="n">
        <v>47</v>
      </c>
      <c r="J469" s="7" t="n">
        <v>31</v>
      </c>
      <c r="K469" s="7" t="n">
        <v>88</v>
      </c>
      <c r="L469" s="7" t="n">
        <v>0</v>
      </c>
      <c r="M469" s="22" t="n">
        <v>0</v>
      </c>
      <c r="N469" s="3"/>
      <c r="O469" s="3"/>
      <c r="P469" s="3"/>
    </row>
    <row r="470" customFormat="false" ht="15.75" hidden="false" customHeight="true" outlineLevel="0" collapsed="false">
      <c r="A470" s="8" t="n">
        <v>45825</v>
      </c>
      <c r="B470" s="7" t="s">
        <v>162</v>
      </c>
      <c r="C470" s="7" t="s">
        <v>97</v>
      </c>
      <c r="D470" s="7" t="s">
        <v>158</v>
      </c>
      <c r="E470" s="7" t="s">
        <v>159</v>
      </c>
      <c r="F470" s="7" t="s">
        <v>160</v>
      </c>
      <c r="G470" s="7" t="s">
        <v>39</v>
      </c>
      <c r="H470" s="7" t="n">
        <v>36</v>
      </c>
      <c r="I470" s="7" t="n">
        <v>44</v>
      </c>
      <c r="J470" s="7" t="n">
        <v>26</v>
      </c>
      <c r="K470" s="7" t="n">
        <v>116</v>
      </c>
      <c r="L470" s="7" t="n">
        <v>0</v>
      </c>
      <c r="M470" s="22" t="n">
        <v>0</v>
      </c>
      <c r="N470" s="3"/>
      <c r="O470" s="3"/>
      <c r="P470" s="3"/>
    </row>
    <row r="471" customFormat="false" ht="15.75" hidden="false" customHeight="true" outlineLevel="0" collapsed="false">
      <c r="A471" s="8" t="n">
        <v>45825</v>
      </c>
      <c r="B471" s="7" t="s">
        <v>163</v>
      </c>
      <c r="C471" s="7" t="s">
        <v>97</v>
      </c>
      <c r="D471" s="7" t="s">
        <v>158</v>
      </c>
      <c r="E471" s="7" t="s">
        <v>159</v>
      </c>
      <c r="F471" s="7" t="s">
        <v>160</v>
      </c>
      <c r="G471" s="7" t="s">
        <v>39</v>
      </c>
      <c r="H471" s="7" t="n">
        <v>31</v>
      </c>
      <c r="I471" s="7" t="n">
        <v>38</v>
      </c>
      <c r="J471" s="7" t="n">
        <v>22</v>
      </c>
      <c r="K471" s="7" t="n">
        <v>109</v>
      </c>
      <c r="L471" s="7" t="n">
        <v>0</v>
      </c>
      <c r="M471" s="22" t="n">
        <v>0</v>
      </c>
      <c r="N471" s="3"/>
      <c r="O471" s="3"/>
      <c r="P471" s="3"/>
    </row>
    <row r="472" customFormat="false" ht="15.75" hidden="false" customHeight="true" outlineLevel="0" collapsed="false">
      <c r="A472" s="8" t="n">
        <v>45825</v>
      </c>
      <c r="B472" s="7" t="s">
        <v>164</v>
      </c>
      <c r="C472" s="7" t="s">
        <v>87</v>
      </c>
      <c r="D472" s="7" t="s">
        <v>158</v>
      </c>
      <c r="E472" s="7" t="s">
        <v>159</v>
      </c>
      <c r="F472" s="7" t="s">
        <v>160</v>
      </c>
      <c r="G472" s="7" t="s">
        <v>39</v>
      </c>
      <c r="H472" s="7" t="n">
        <v>31</v>
      </c>
      <c r="I472" s="7" t="n">
        <v>38</v>
      </c>
      <c r="J472" s="7" t="n">
        <v>21</v>
      </c>
      <c r="K472" s="7" t="n">
        <v>70</v>
      </c>
      <c r="L472" s="7" t="n">
        <v>0</v>
      </c>
      <c r="M472" s="22" t="n">
        <v>0</v>
      </c>
      <c r="N472" s="3"/>
      <c r="O472" s="3"/>
      <c r="P472" s="3"/>
    </row>
    <row r="473" customFormat="false" ht="15.75" hidden="false" customHeight="true" outlineLevel="0" collapsed="false">
      <c r="A473" s="8" t="n">
        <v>45825</v>
      </c>
      <c r="B473" s="7" t="s">
        <v>166</v>
      </c>
      <c r="C473" s="7" t="s">
        <v>167</v>
      </c>
      <c r="D473" s="7" t="s">
        <v>158</v>
      </c>
      <c r="E473" s="7" t="s">
        <v>159</v>
      </c>
      <c r="F473" s="7" t="s">
        <v>165</v>
      </c>
      <c r="G473" s="7" t="s">
        <v>39</v>
      </c>
      <c r="H473" s="7" t="n">
        <v>13</v>
      </c>
      <c r="I473" s="7" t="n">
        <v>16</v>
      </c>
      <c r="J473" s="7" t="n">
        <v>8</v>
      </c>
      <c r="K473" s="7" t="n">
        <v>85</v>
      </c>
      <c r="L473" s="7" t="n">
        <v>0</v>
      </c>
      <c r="M473" s="22" t="n">
        <v>0</v>
      </c>
      <c r="N473" s="3"/>
      <c r="O473" s="3"/>
      <c r="P473" s="3"/>
    </row>
    <row r="474" customFormat="false" ht="15.75" hidden="false" customHeight="true" outlineLevel="0" collapsed="false">
      <c r="A474" s="8" t="n">
        <v>45826</v>
      </c>
      <c r="B474" s="7" t="s">
        <v>157</v>
      </c>
      <c r="C474" s="7" t="s">
        <v>92</v>
      </c>
      <c r="D474" s="7" t="s">
        <v>158</v>
      </c>
      <c r="E474" s="7" t="s">
        <v>159</v>
      </c>
      <c r="F474" s="7" t="s">
        <v>165</v>
      </c>
      <c r="G474" s="7" t="s">
        <v>39</v>
      </c>
      <c r="H474" s="7" t="n">
        <v>38</v>
      </c>
      <c r="I474" s="7" t="n">
        <v>46</v>
      </c>
      <c r="J474" s="7" t="n">
        <v>30</v>
      </c>
      <c r="K474" s="7" t="n">
        <v>85</v>
      </c>
      <c r="L474" s="7" t="n">
        <v>0</v>
      </c>
      <c r="M474" s="22" t="n">
        <v>0</v>
      </c>
      <c r="N474" s="3"/>
      <c r="O474" s="3"/>
      <c r="P474" s="3"/>
    </row>
    <row r="475" customFormat="false" ht="15.75" hidden="false" customHeight="true" outlineLevel="0" collapsed="false">
      <c r="A475" s="8" t="n">
        <v>45826</v>
      </c>
      <c r="B475" s="7" t="s">
        <v>161</v>
      </c>
      <c r="C475" s="7" t="s">
        <v>92</v>
      </c>
      <c r="D475" s="7" t="s">
        <v>158</v>
      </c>
      <c r="E475" s="7" t="s">
        <v>159</v>
      </c>
      <c r="F475" s="7" t="s">
        <v>160</v>
      </c>
      <c r="G475" s="7" t="s">
        <v>39</v>
      </c>
      <c r="H475" s="7" t="n">
        <v>42</v>
      </c>
      <c r="I475" s="7" t="n">
        <v>51</v>
      </c>
      <c r="J475" s="7" t="n">
        <v>33</v>
      </c>
      <c r="K475" s="7" t="n">
        <v>86</v>
      </c>
      <c r="L475" s="7" t="n">
        <v>0</v>
      </c>
      <c r="M475" s="22" t="n">
        <v>0</v>
      </c>
      <c r="N475" s="3"/>
      <c r="O475" s="3"/>
      <c r="P475" s="3"/>
    </row>
    <row r="476" customFormat="false" ht="15.75" hidden="false" customHeight="true" outlineLevel="0" collapsed="false">
      <c r="A476" s="8" t="n">
        <v>45826</v>
      </c>
      <c r="B476" s="7" t="s">
        <v>162</v>
      </c>
      <c r="C476" s="7" t="s">
        <v>97</v>
      </c>
      <c r="D476" s="7" t="s">
        <v>158</v>
      </c>
      <c r="E476" s="7" t="s">
        <v>159</v>
      </c>
      <c r="F476" s="7" t="s">
        <v>160</v>
      </c>
      <c r="G476" s="7" t="s">
        <v>39</v>
      </c>
      <c r="H476" s="7" t="n">
        <v>36</v>
      </c>
      <c r="I476" s="7" t="n">
        <v>44</v>
      </c>
      <c r="J476" s="7" t="n">
        <v>26</v>
      </c>
      <c r="K476" s="7" t="n">
        <v>99</v>
      </c>
      <c r="L476" s="7" t="n">
        <v>0</v>
      </c>
      <c r="M476" s="22" t="n">
        <v>0</v>
      </c>
      <c r="N476" s="3"/>
      <c r="O476" s="3"/>
      <c r="P476" s="3"/>
    </row>
    <row r="477" customFormat="false" ht="15.75" hidden="false" customHeight="true" outlineLevel="0" collapsed="false">
      <c r="A477" s="8" t="n">
        <v>45826</v>
      </c>
      <c r="B477" s="7" t="s">
        <v>163</v>
      </c>
      <c r="C477" s="7" t="s">
        <v>97</v>
      </c>
      <c r="D477" s="7" t="s">
        <v>158</v>
      </c>
      <c r="E477" s="7" t="s">
        <v>159</v>
      </c>
      <c r="F477" s="7" t="s">
        <v>160</v>
      </c>
      <c r="G477" s="7" t="s">
        <v>39</v>
      </c>
      <c r="H477" s="7" t="n">
        <v>34</v>
      </c>
      <c r="I477" s="7" t="n">
        <v>42</v>
      </c>
      <c r="J477" s="7" t="n">
        <v>25</v>
      </c>
      <c r="K477" s="7" t="n">
        <v>113</v>
      </c>
      <c r="L477" s="7" t="n">
        <v>0</v>
      </c>
      <c r="M477" s="22" t="n">
        <v>0</v>
      </c>
      <c r="N477" s="3"/>
      <c r="O477" s="3"/>
      <c r="P477" s="3"/>
    </row>
    <row r="478" customFormat="false" ht="15.75" hidden="false" customHeight="true" outlineLevel="0" collapsed="false">
      <c r="A478" s="8" t="n">
        <v>45826</v>
      </c>
      <c r="B478" s="7" t="s">
        <v>164</v>
      </c>
      <c r="C478" s="7" t="s">
        <v>87</v>
      </c>
      <c r="D478" s="7" t="s">
        <v>158</v>
      </c>
      <c r="E478" s="7" t="s">
        <v>159</v>
      </c>
      <c r="F478" s="7" t="s">
        <v>165</v>
      </c>
      <c r="G478" s="7" t="s">
        <v>39</v>
      </c>
      <c r="H478" s="7" t="n">
        <v>29</v>
      </c>
      <c r="I478" s="7" t="n">
        <v>35</v>
      </c>
      <c r="J478" s="7" t="n">
        <v>19</v>
      </c>
      <c r="K478" s="7" t="n">
        <v>79</v>
      </c>
      <c r="L478" s="7" t="n">
        <v>0</v>
      </c>
      <c r="M478" s="22" t="n">
        <v>0</v>
      </c>
      <c r="N478" s="3"/>
      <c r="O478" s="3"/>
      <c r="P478" s="3"/>
    </row>
    <row r="479" customFormat="false" ht="15.75" hidden="false" customHeight="true" outlineLevel="0" collapsed="false">
      <c r="A479" s="8" t="n">
        <v>45826</v>
      </c>
      <c r="B479" s="7" t="s">
        <v>166</v>
      </c>
      <c r="C479" s="7" t="s">
        <v>167</v>
      </c>
      <c r="D479" s="7" t="s">
        <v>158</v>
      </c>
      <c r="E479" s="7" t="s">
        <v>159</v>
      </c>
      <c r="F479" s="7" t="s">
        <v>160</v>
      </c>
      <c r="G479" s="7" t="s">
        <v>39</v>
      </c>
      <c r="H479" s="7" t="n">
        <v>14</v>
      </c>
      <c r="I479" s="7" t="n">
        <v>18</v>
      </c>
      <c r="J479" s="7" t="n">
        <v>10</v>
      </c>
      <c r="K479" s="7" t="n">
        <v>71</v>
      </c>
      <c r="L479" s="7" t="n">
        <v>0</v>
      </c>
      <c r="M479" s="22" t="n">
        <v>0</v>
      </c>
      <c r="N479" s="3"/>
      <c r="O479" s="3"/>
      <c r="P479" s="3"/>
    </row>
    <row r="480" customFormat="false" ht="15.75" hidden="false" customHeight="true" outlineLevel="0" collapsed="false">
      <c r="A480" s="8" t="n">
        <v>45827</v>
      </c>
      <c r="B480" s="7" t="s">
        <v>157</v>
      </c>
      <c r="C480" s="7" t="s">
        <v>92</v>
      </c>
      <c r="D480" s="7" t="s">
        <v>158</v>
      </c>
      <c r="E480" s="7" t="s">
        <v>159</v>
      </c>
      <c r="F480" s="7" t="s">
        <v>160</v>
      </c>
      <c r="G480" s="7" t="s">
        <v>39</v>
      </c>
      <c r="H480" s="7" t="n">
        <v>43</v>
      </c>
      <c r="I480" s="7" t="n">
        <v>53</v>
      </c>
      <c r="J480" s="7" t="n">
        <v>34</v>
      </c>
      <c r="K480" s="7" t="n">
        <v>105</v>
      </c>
      <c r="L480" s="7" t="n">
        <v>0</v>
      </c>
      <c r="M480" s="22" t="n">
        <v>0</v>
      </c>
      <c r="N480" s="3"/>
      <c r="O480" s="3"/>
      <c r="P480" s="3"/>
    </row>
    <row r="481" customFormat="false" ht="15.75" hidden="false" customHeight="true" outlineLevel="0" collapsed="false">
      <c r="A481" s="8" t="n">
        <v>45827</v>
      </c>
      <c r="B481" s="7" t="s">
        <v>161</v>
      </c>
      <c r="C481" s="7" t="s">
        <v>92</v>
      </c>
      <c r="D481" s="7" t="s">
        <v>158</v>
      </c>
      <c r="E481" s="7" t="s">
        <v>159</v>
      </c>
      <c r="F481" s="7" t="s">
        <v>165</v>
      </c>
      <c r="G481" s="7" t="s">
        <v>39</v>
      </c>
      <c r="H481" s="7" t="n">
        <v>43</v>
      </c>
      <c r="I481" s="7" t="n">
        <v>52</v>
      </c>
      <c r="J481" s="7" t="n">
        <v>34</v>
      </c>
      <c r="K481" s="7" t="n">
        <v>107</v>
      </c>
      <c r="L481" s="7" t="n">
        <v>0</v>
      </c>
      <c r="M481" s="22" t="n">
        <v>0</v>
      </c>
      <c r="N481" s="3"/>
      <c r="O481" s="3"/>
      <c r="P481" s="3"/>
    </row>
    <row r="482" customFormat="false" ht="15.75" hidden="false" customHeight="true" outlineLevel="0" collapsed="false">
      <c r="A482" s="8" t="n">
        <v>45827</v>
      </c>
      <c r="B482" s="7" t="s">
        <v>162</v>
      </c>
      <c r="C482" s="7" t="s">
        <v>97</v>
      </c>
      <c r="D482" s="7" t="s">
        <v>158</v>
      </c>
      <c r="E482" s="7" t="s">
        <v>159</v>
      </c>
      <c r="F482" s="7" t="s">
        <v>160</v>
      </c>
      <c r="G482" s="7" t="s">
        <v>39</v>
      </c>
      <c r="H482" s="7" t="n">
        <v>27</v>
      </c>
      <c r="I482" s="7" t="n">
        <v>33</v>
      </c>
      <c r="J482" s="7" t="n">
        <v>19</v>
      </c>
      <c r="K482" s="7" t="n">
        <v>116</v>
      </c>
      <c r="L482" s="7" t="n">
        <v>0</v>
      </c>
      <c r="M482" s="22" t="n">
        <v>0</v>
      </c>
      <c r="N482" s="3"/>
      <c r="O482" s="3"/>
      <c r="P482" s="3"/>
    </row>
    <row r="483" customFormat="false" ht="15.75" hidden="false" customHeight="true" outlineLevel="0" collapsed="false">
      <c r="A483" s="8" t="n">
        <v>45827</v>
      </c>
      <c r="B483" s="7" t="s">
        <v>163</v>
      </c>
      <c r="C483" s="7" t="s">
        <v>97</v>
      </c>
      <c r="D483" s="7" t="s">
        <v>158</v>
      </c>
      <c r="E483" s="7" t="s">
        <v>159</v>
      </c>
      <c r="F483" s="7" t="s">
        <v>165</v>
      </c>
      <c r="G483" s="7" t="s">
        <v>39</v>
      </c>
      <c r="H483" s="7" t="n">
        <v>27</v>
      </c>
      <c r="I483" s="7" t="n">
        <v>33</v>
      </c>
      <c r="J483" s="7" t="n">
        <v>19</v>
      </c>
      <c r="K483" s="7" t="n">
        <v>117</v>
      </c>
      <c r="L483" s="7" t="n">
        <v>0</v>
      </c>
      <c r="M483" s="22" t="n">
        <v>0</v>
      </c>
      <c r="N483" s="3"/>
      <c r="O483" s="3"/>
      <c r="P483" s="3"/>
    </row>
    <row r="484" customFormat="false" ht="15.75" hidden="false" customHeight="true" outlineLevel="0" collapsed="false">
      <c r="A484" s="8" t="n">
        <v>45827</v>
      </c>
      <c r="B484" s="7" t="s">
        <v>164</v>
      </c>
      <c r="C484" s="7" t="s">
        <v>87</v>
      </c>
      <c r="D484" s="7" t="s">
        <v>158</v>
      </c>
      <c r="E484" s="7" t="s">
        <v>159</v>
      </c>
      <c r="F484" s="7" t="s">
        <v>160</v>
      </c>
      <c r="G484" s="7" t="s">
        <v>39</v>
      </c>
      <c r="H484" s="7" t="n">
        <v>23</v>
      </c>
      <c r="I484" s="7" t="n">
        <v>28</v>
      </c>
      <c r="J484" s="7" t="n">
        <v>15</v>
      </c>
      <c r="K484" s="7" t="n">
        <v>67</v>
      </c>
      <c r="L484" s="7" t="n">
        <v>0</v>
      </c>
      <c r="M484" s="22" t="n">
        <v>0</v>
      </c>
      <c r="N484" s="3"/>
      <c r="O484" s="3"/>
      <c r="P484" s="3"/>
    </row>
    <row r="485" customFormat="false" ht="15.75" hidden="false" customHeight="true" outlineLevel="0" collapsed="false">
      <c r="A485" s="8" t="n">
        <v>45827</v>
      </c>
      <c r="B485" s="7" t="s">
        <v>166</v>
      </c>
      <c r="C485" s="7" t="s">
        <v>167</v>
      </c>
      <c r="D485" s="7" t="s">
        <v>158</v>
      </c>
      <c r="E485" s="7" t="s">
        <v>159</v>
      </c>
      <c r="F485" s="7" t="s">
        <v>160</v>
      </c>
      <c r="G485" s="7" t="s">
        <v>39</v>
      </c>
      <c r="H485" s="7" t="n">
        <v>12</v>
      </c>
      <c r="I485" s="7" t="n">
        <v>15</v>
      </c>
      <c r="J485" s="7" t="n">
        <v>8</v>
      </c>
      <c r="K485" s="7" t="n">
        <v>70</v>
      </c>
      <c r="L485" s="7" t="n">
        <v>0</v>
      </c>
      <c r="M485" s="22" t="n">
        <v>0</v>
      </c>
      <c r="N485" s="3"/>
      <c r="O485" s="3"/>
      <c r="P485" s="3"/>
    </row>
    <row r="486" customFormat="false" ht="15.75" hidden="false" customHeight="true" outlineLevel="0" collapsed="false">
      <c r="A486" s="8" t="n">
        <v>45828</v>
      </c>
      <c r="B486" s="7" t="s">
        <v>157</v>
      </c>
      <c r="C486" s="7" t="s">
        <v>92</v>
      </c>
      <c r="D486" s="7" t="s">
        <v>158</v>
      </c>
      <c r="E486" s="7" t="s">
        <v>159</v>
      </c>
      <c r="F486" s="7" t="s">
        <v>160</v>
      </c>
      <c r="G486" s="7" t="s">
        <v>39</v>
      </c>
      <c r="H486" s="7" t="n">
        <v>34</v>
      </c>
      <c r="I486" s="7" t="n">
        <v>42</v>
      </c>
      <c r="J486" s="7" t="n">
        <v>27</v>
      </c>
      <c r="K486" s="7" t="n">
        <v>98</v>
      </c>
      <c r="L486" s="7" t="n">
        <v>0</v>
      </c>
      <c r="M486" s="22" t="n">
        <v>0</v>
      </c>
      <c r="N486" s="3"/>
      <c r="O486" s="3"/>
      <c r="P486" s="3"/>
    </row>
    <row r="487" customFormat="false" ht="15.75" hidden="false" customHeight="true" outlineLevel="0" collapsed="false">
      <c r="A487" s="8" t="n">
        <v>45828</v>
      </c>
      <c r="B487" s="7" t="s">
        <v>161</v>
      </c>
      <c r="C487" s="7" t="s">
        <v>92</v>
      </c>
      <c r="D487" s="7" t="s">
        <v>158</v>
      </c>
      <c r="E487" s="7" t="s">
        <v>159</v>
      </c>
      <c r="F487" s="7" t="s">
        <v>160</v>
      </c>
      <c r="G487" s="7" t="s">
        <v>39</v>
      </c>
      <c r="H487" s="7" t="n">
        <v>38</v>
      </c>
      <c r="I487" s="7" t="n">
        <v>46</v>
      </c>
      <c r="J487" s="7" t="n">
        <v>30</v>
      </c>
      <c r="K487" s="7" t="n">
        <v>91</v>
      </c>
      <c r="L487" s="7" t="n">
        <v>0</v>
      </c>
      <c r="M487" s="22" t="n">
        <v>0</v>
      </c>
      <c r="N487" s="3"/>
      <c r="O487" s="3"/>
      <c r="P487" s="3"/>
    </row>
    <row r="488" customFormat="false" ht="15.75" hidden="false" customHeight="true" outlineLevel="0" collapsed="false">
      <c r="A488" s="8" t="n">
        <v>45828</v>
      </c>
      <c r="B488" s="7" t="s">
        <v>162</v>
      </c>
      <c r="C488" s="7" t="s">
        <v>97</v>
      </c>
      <c r="D488" s="7" t="s">
        <v>158</v>
      </c>
      <c r="E488" s="7" t="s">
        <v>159</v>
      </c>
      <c r="F488" s="7" t="s">
        <v>160</v>
      </c>
      <c r="G488" s="7" t="s">
        <v>39</v>
      </c>
      <c r="H488" s="7" t="n">
        <v>30</v>
      </c>
      <c r="I488" s="7" t="n">
        <v>37</v>
      </c>
      <c r="J488" s="7" t="n">
        <v>22</v>
      </c>
      <c r="K488" s="7" t="n">
        <v>118</v>
      </c>
      <c r="L488" s="7" t="n">
        <v>0</v>
      </c>
      <c r="M488" s="22" t="n">
        <v>0</v>
      </c>
      <c r="N488" s="3"/>
      <c r="O488" s="3"/>
      <c r="P488" s="3"/>
    </row>
    <row r="489" customFormat="false" ht="15.75" hidden="false" customHeight="true" outlineLevel="0" collapsed="false">
      <c r="A489" s="8" t="n">
        <v>45828</v>
      </c>
      <c r="B489" s="7" t="s">
        <v>163</v>
      </c>
      <c r="C489" s="7" t="s">
        <v>97</v>
      </c>
      <c r="D489" s="7" t="s">
        <v>158</v>
      </c>
      <c r="E489" s="7" t="s">
        <v>159</v>
      </c>
      <c r="F489" s="7" t="s">
        <v>160</v>
      </c>
      <c r="G489" s="7" t="s">
        <v>39</v>
      </c>
      <c r="H489" s="7" t="n">
        <v>27</v>
      </c>
      <c r="I489" s="7" t="n">
        <v>33</v>
      </c>
      <c r="J489" s="7" t="n">
        <v>19</v>
      </c>
      <c r="K489" s="7" t="n">
        <v>99</v>
      </c>
      <c r="L489" s="7" t="n">
        <v>0</v>
      </c>
      <c r="M489" s="22" t="n">
        <v>0</v>
      </c>
      <c r="N489" s="3"/>
      <c r="O489" s="3"/>
      <c r="P489" s="3"/>
    </row>
    <row r="490" customFormat="false" ht="15.75" hidden="false" customHeight="true" outlineLevel="0" collapsed="false">
      <c r="A490" s="8" t="n">
        <v>45828</v>
      </c>
      <c r="B490" s="7" t="s">
        <v>164</v>
      </c>
      <c r="C490" s="7" t="s">
        <v>87</v>
      </c>
      <c r="D490" s="7" t="s">
        <v>158</v>
      </c>
      <c r="E490" s="7" t="s">
        <v>159</v>
      </c>
      <c r="F490" s="7" t="s">
        <v>160</v>
      </c>
      <c r="G490" s="7" t="s">
        <v>39</v>
      </c>
      <c r="H490" s="7" t="n">
        <v>21</v>
      </c>
      <c r="I490" s="7" t="n">
        <v>26</v>
      </c>
      <c r="J490" s="7" t="n">
        <v>14</v>
      </c>
      <c r="K490" s="7" t="n">
        <v>64</v>
      </c>
      <c r="L490" s="7" t="n">
        <v>0</v>
      </c>
      <c r="M490" s="22" t="n">
        <v>0</v>
      </c>
      <c r="N490" s="3"/>
      <c r="O490" s="3"/>
      <c r="P490" s="3"/>
    </row>
    <row r="491" customFormat="false" ht="15.75" hidden="false" customHeight="true" outlineLevel="0" collapsed="false">
      <c r="A491" s="8" t="n">
        <v>45828</v>
      </c>
      <c r="B491" s="7" t="s">
        <v>166</v>
      </c>
      <c r="C491" s="7" t="s">
        <v>167</v>
      </c>
      <c r="D491" s="7" t="s">
        <v>158</v>
      </c>
      <c r="E491" s="7" t="s">
        <v>159</v>
      </c>
      <c r="F491" s="7" t="s">
        <v>160</v>
      </c>
      <c r="G491" s="7" t="s">
        <v>39</v>
      </c>
      <c r="H491" s="7" t="n">
        <v>19</v>
      </c>
      <c r="I491" s="7" t="n">
        <v>23</v>
      </c>
      <c r="J491" s="7" t="n">
        <v>12</v>
      </c>
      <c r="K491" s="7" t="n">
        <v>66</v>
      </c>
      <c r="L491" s="7" t="n">
        <v>0</v>
      </c>
      <c r="M491" s="22" t="n">
        <v>0</v>
      </c>
      <c r="N491" s="3"/>
      <c r="O491" s="3"/>
      <c r="P491" s="3"/>
    </row>
    <row r="492" customFormat="false" ht="15.75" hidden="false" customHeight="true" outlineLevel="0" collapsed="false">
      <c r="A492" s="8" t="n">
        <v>45829</v>
      </c>
      <c r="B492" s="7" t="s">
        <v>157</v>
      </c>
      <c r="C492" s="7" t="s">
        <v>92</v>
      </c>
      <c r="D492" s="7" t="s">
        <v>158</v>
      </c>
      <c r="E492" s="7" t="s">
        <v>159</v>
      </c>
      <c r="F492" s="7" t="s">
        <v>160</v>
      </c>
      <c r="G492" s="7" t="s">
        <v>39</v>
      </c>
      <c r="H492" s="7" t="n">
        <v>34</v>
      </c>
      <c r="I492" s="7" t="n">
        <v>42</v>
      </c>
      <c r="J492" s="7" t="n">
        <v>27</v>
      </c>
      <c r="K492" s="7" t="n">
        <v>100</v>
      </c>
      <c r="L492" s="7" t="n">
        <v>0</v>
      </c>
      <c r="M492" s="22" t="n">
        <v>0</v>
      </c>
      <c r="N492" s="3"/>
      <c r="O492" s="3"/>
      <c r="P492" s="3"/>
    </row>
    <row r="493" customFormat="false" ht="15.75" hidden="false" customHeight="true" outlineLevel="0" collapsed="false">
      <c r="A493" s="8" t="n">
        <v>45829</v>
      </c>
      <c r="B493" s="7" t="s">
        <v>161</v>
      </c>
      <c r="C493" s="7" t="s">
        <v>92</v>
      </c>
      <c r="D493" s="7" t="s">
        <v>158</v>
      </c>
      <c r="E493" s="7" t="s">
        <v>159</v>
      </c>
      <c r="F493" s="7" t="s">
        <v>165</v>
      </c>
      <c r="G493" s="7" t="s">
        <v>39</v>
      </c>
      <c r="H493" s="7" t="n">
        <v>36</v>
      </c>
      <c r="I493" s="7" t="n">
        <v>44</v>
      </c>
      <c r="J493" s="7" t="n">
        <v>29</v>
      </c>
      <c r="K493" s="7" t="n">
        <v>92</v>
      </c>
      <c r="L493" s="7" t="n">
        <v>0</v>
      </c>
      <c r="M493" s="22" t="n">
        <v>0</v>
      </c>
      <c r="N493" s="3"/>
      <c r="O493" s="3"/>
      <c r="P493" s="3"/>
    </row>
    <row r="494" customFormat="false" ht="15.75" hidden="false" customHeight="true" outlineLevel="0" collapsed="false">
      <c r="A494" s="8" t="n">
        <v>45829</v>
      </c>
      <c r="B494" s="7" t="s">
        <v>162</v>
      </c>
      <c r="C494" s="7" t="s">
        <v>97</v>
      </c>
      <c r="D494" s="7" t="s">
        <v>158</v>
      </c>
      <c r="E494" s="7" t="s">
        <v>159</v>
      </c>
      <c r="F494" s="7" t="s">
        <v>160</v>
      </c>
      <c r="G494" s="7" t="s">
        <v>39</v>
      </c>
      <c r="H494" s="7" t="n">
        <v>31</v>
      </c>
      <c r="I494" s="7" t="n">
        <v>38</v>
      </c>
      <c r="J494" s="7" t="n">
        <v>22</v>
      </c>
      <c r="K494" s="7" t="n">
        <v>105</v>
      </c>
      <c r="L494" s="7" t="n">
        <v>0</v>
      </c>
      <c r="M494" s="22" t="n">
        <v>0</v>
      </c>
      <c r="N494" s="3"/>
      <c r="O494" s="3"/>
      <c r="P494" s="3"/>
    </row>
    <row r="495" customFormat="false" ht="15.75" hidden="false" customHeight="true" outlineLevel="0" collapsed="false">
      <c r="A495" s="8" t="n">
        <v>45829</v>
      </c>
      <c r="B495" s="7" t="s">
        <v>163</v>
      </c>
      <c r="C495" s="7" t="s">
        <v>97</v>
      </c>
      <c r="D495" s="7" t="s">
        <v>158</v>
      </c>
      <c r="E495" s="7" t="s">
        <v>159</v>
      </c>
      <c r="F495" s="7" t="s">
        <v>165</v>
      </c>
      <c r="G495" s="7" t="s">
        <v>39</v>
      </c>
      <c r="H495" s="7" t="n">
        <v>34</v>
      </c>
      <c r="I495" s="7" t="n">
        <v>42</v>
      </c>
      <c r="J495" s="7" t="n">
        <v>25</v>
      </c>
      <c r="K495" s="7" t="n">
        <v>122</v>
      </c>
      <c r="L495" s="7" t="n">
        <v>0</v>
      </c>
      <c r="M495" s="22" t="n">
        <v>0</v>
      </c>
      <c r="N495" s="3"/>
      <c r="O495" s="3"/>
      <c r="P495" s="3"/>
    </row>
    <row r="496" customFormat="false" ht="15.75" hidden="false" customHeight="true" outlineLevel="0" collapsed="false">
      <c r="A496" s="8" t="n">
        <v>45829</v>
      </c>
      <c r="B496" s="7" t="s">
        <v>164</v>
      </c>
      <c r="C496" s="7" t="s">
        <v>87</v>
      </c>
      <c r="D496" s="7" t="s">
        <v>158</v>
      </c>
      <c r="E496" s="7" t="s">
        <v>159</v>
      </c>
      <c r="F496" s="7" t="s">
        <v>160</v>
      </c>
      <c r="G496" s="7" t="s">
        <v>39</v>
      </c>
      <c r="H496" s="7" t="n">
        <v>29</v>
      </c>
      <c r="I496" s="7" t="n">
        <v>35</v>
      </c>
      <c r="J496" s="7" t="n">
        <v>19</v>
      </c>
      <c r="K496" s="7" t="n">
        <v>84</v>
      </c>
      <c r="L496" s="7" t="n">
        <v>0</v>
      </c>
      <c r="M496" s="22" t="n">
        <v>0</v>
      </c>
      <c r="N496" s="3"/>
      <c r="O496" s="3"/>
      <c r="P496" s="3"/>
    </row>
    <row r="497" customFormat="false" ht="15.75" hidden="false" customHeight="true" outlineLevel="0" collapsed="false">
      <c r="A497" s="8" t="n">
        <v>45829</v>
      </c>
      <c r="B497" s="7" t="s">
        <v>166</v>
      </c>
      <c r="C497" s="7" t="s">
        <v>167</v>
      </c>
      <c r="D497" s="7" t="s">
        <v>158</v>
      </c>
      <c r="E497" s="7" t="s">
        <v>159</v>
      </c>
      <c r="F497" s="7" t="s">
        <v>160</v>
      </c>
      <c r="G497" s="7" t="s">
        <v>39</v>
      </c>
      <c r="H497" s="7" t="n">
        <v>12</v>
      </c>
      <c r="I497" s="7" t="n">
        <v>15</v>
      </c>
      <c r="J497" s="7" t="n">
        <v>8</v>
      </c>
      <c r="K497" s="7" t="n">
        <v>67</v>
      </c>
      <c r="L497" s="7" t="n">
        <v>0</v>
      </c>
      <c r="M497" s="22" t="n">
        <v>0</v>
      </c>
      <c r="N497" s="3"/>
      <c r="O497" s="3"/>
      <c r="P497" s="3"/>
    </row>
    <row r="498" customFormat="false" ht="15.75" hidden="false" customHeight="true" outlineLevel="0" collapsed="false">
      <c r="A498" s="8" t="n">
        <v>45830</v>
      </c>
      <c r="B498" s="7" t="s">
        <v>157</v>
      </c>
      <c r="C498" s="7" t="s">
        <v>92</v>
      </c>
      <c r="D498" s="7" t="s">
        <v>158</v>
      </c>
      <c r="E498" s="7" t="s">
        <v>159</v>
      </c>
      <c r="F498" s="7" t="s">
        <v>165</v>
      </c>
      <c r="G498" s="7" t="s">
        <v>39</v>
      </c>
      <c r="H498" s="7" t="n">
        <v>37</v>
      </c>
      <c r="I498" s="7" t="n">
        <v>45</v>
      </c>
      <c r="J498" s="7" t="n">
        <v>29</v>
      </c>
      <c r="K498" s="7" t="n">
        <v>100</v>
      </c>
      <c r="L498" s="7" t="n">
        <v>0</v>
      </c>
      <c r="M498" s="22" t="n">
        <v>0</v>
      </c>
      <c r="N498" s="3"/>
      <c r="O498" s="3"/>
      <c r="P498" s="3"/>
    </row>
    <row r="499" customFormat="false" ht="15.75" hidden="false" customHeight="true" outlineLevel="0" collapsed="false">
      <c r="A499" s="8" t="n">
        <v>45830</v>
      </c>
      <c r="B499" s="7" t="s">
        <v>161</v>
      </c>
      <c r="C499" s="7" t="s">
        <v>92</v>
      </c>
      <c r="D499" s="7" t="s">
        <v>158</v>
      </c>
      <c r="E499" s="7" t="s">
        <v>159</v>
      </c>
      <c r="F499" s="7" t="s">
        <v>160</v>
      </c>
      <c r="G499" s="7" t="s">
        <v>39</v>
      </c>
      <c r="H499" s="7" t="n">
        <v>45</v>
      </c>
      <c r="I499" s="7" t="n">
        <v>55</v>
      </c>
      <c r="J499" s="7" t="n">
        <v>36</v>
      </c>
      <c r="K499" s="7" t="n">
        <v>86</v>
      </c>
      <c r="L499" s="7" t="n">
        <v>0</v>
      </c>
      <c r="M499" s="22" t="n">
        <v>0</v>
      </c>
      <c r="N499" s="3"/>
      <c r="O499" s="3"/>
      <c r="P499" s="3"/>
    </row>
    <row r="500" customFormat="false" ht="15.75" hidden="false" customHeight="true" outlineLevel="0" collapsed="false">
      <c r="A500" s="8" t="n">
        <v>45830</v>
      </c>
      <c r="B500" s="7" t="s">
        <v>162</v>
      </c>
      <c r="C500" s="7" t="s">
        <v>97</v>
      </c>
      <c r="D500" s="7" t="s">
        <v>158</v>
      </c>
      <c r="E500" s="7" t="s">
        <v>159</v>
      </c>
      <c r="F500" s="7" t="s">
        <v>160</v>
      </c>
      <c r="G500" s="7" t="s">
        <v>39</v>
      </c>
      <c r="H500" s="7" t="n">
        <v>24</v>
      </c>
      <c r="I500" s="7" t="n">
        <v>29</v>
      </c>
      <c r="J500" s="7" t="n">
        <v>17</v>
      </c>
      <c r="K500" s="7" t="n">
        <v>106</v>
      </c>
      <c r="L500" s="7" t="n">
        <v>0</v>
      </c>
      <c r="M500" s="22" t="n">
        <v>0</v>
      </c>
      <c r="N500" s="3"/>
      <c r="O500" s="3"/>
      <c r="P500" s="3"/>
    </row>
    <row r="501" customFormat="false" ht="15.75" hidden="false" customHeight="true" outlineLevel="0" collapsed="false">
      <c r="A501" s="8" t="n">
        <v>45830</v>
      </c>
      <c r="B501" s="7" t="s">
        <v>163</v>
      </c>
      <c r="C501" s="7" t="s">
        <v>97</v>
      </c>
      <c r="D501" s="7" t="s">
        <v>158</v>
      </c>
      <c r="E501" s="7" t="s">
        <v>159</v>
      </c>
      <c r="F501" s="7" t="s">
        <v>160</v>
      </c>
      <c r="G501" s="7" t="s">
        <v>39</v>
      </c>
      <c r="H501" s="7" t="n">
        <v>30</v>
      </c>
      <c r="I501" s="7" t="n">
        <v>37</v>
      </c>
      <c r="J501" s="7" t="n">
        <v>22</v>
      </c>
      <c r="K501" s="7" t="n">
        <v>118</v>
      </c>
      <c r="L501" s="7" t="n">
        <v>0</v>
      </c>
      <c r="M501" s="22" t="n">
        <v>0</v>
      </c>
      <c r="N501" s="3"/>
      <c r="O501" s="3"/>
      <c r="P501" s="3"/>
    </row>
    <row r="502" customFormat="false" ht="15.75" hidden="false" customHeight="true" outlineLevel="0" collapsed="false">
      <c r="A502" s="8" t="n">
        <v>45830</v>
      </c>
      <c r="B502" s="7" t="s">
        <v>164</v>
      </c>
      <c r="C502" s="7" t="s">
        <v>87</v>
      </c>
      <c r="D502" s="7" t="s">
        <v>158</v>
      </c>
      <c r="E502" s="7" t="s">
        <v>159</v>
      </c>
      <c r="F502" s="7" t="s">
        <v>160</v>
      </c>
      <c r="G502" s="7" t="s">
        <v>39</v>
      </c>
      <c r="H502" s="7" t="n">
        <v>24</v>
      </c>
      <c r="I502" s="7" t="n">
        <v>30</v>
      </c>
      <c r="J502" s="7" t="n">
        <v>16</v>
      </c>
      <c r="K502" s="7" t="n">
        <v>65</v>
      </c>
      <c r="L502" s="7" t="n">
        <v>0</v>
      </c>
      <c r="M502" s="22" t="n">
        <v>0</v>
      </c>
      <c r="N502" s="3"/>
      <c r="O502" s="3"/>
      <c r="P502" s="3"/>
    </row>
    <row r="503" customFormat="false" ht="15.75" hidden="false" customHeight="true" outlineLevel="0" collapsed="false">
      <c r="A503" s="8" t="n">
        <v>45830</v>
      </c>
      <c r="B503" s="7" t="s">
        <v>166</v>
      </c>
      <c r="C503" s="7" t="s">
        <v>167</v>
      </c>
      <c r="D503" s="7" t="s">
        <v>158</v>
      </c>
      <c r="E503" s="7" t="s">
        <v>159</v>
      </c>
      <c r="F503" s="7" t="s">
        <v>160</v>
      </c>
      <c r="G503" s="7" t="s">
        <v>39</v>
      </c>
      <c r="H503" s="7" t="n">
        <v>19</v>
      </c>
      <c r="I503" s="7" t="n">
        <v>23</v>
      </c>
      <c r="J503" s="7" t="n">
        <v>12</v>
      </c>
      <c r="K503" s="7" t="n">
        <v>71</v>
      </c>
      <c r="L503" s="7" t="n">
        <v>0</v>
      </c>
      <c r="M503" s="22" t="n">
        <v>0</v>
      </c>
      <c r="N503" s="3"/>
      <c r="O503" s="3"/>
      <c r="P503" s="3"/>
    </row>
    <row r="504" customFormat="false" ht="15.75" hidden="false" customHeight="true" outlineLevel="0" collapsed="false">
      <c r="A504" s="8" t="n">
        <v>45831</v>
      </c>
      <c r="B504" s="7" t="s">
        <v>157</v>
      </c>
      <c r="C504" s="7" t="s">
        <v>92</v>
      </c>
      <c r="D504" s="7" t="s">
        <v>158</v>
      </c>
      <c r="E504" s="7" t="s">
        <v>159</v>
      </c>
      <c r="F504" s="7" t="s">
        <v>160</v>
      </c>
      <c r="G504" s="7" t="s">
        <v>39</v>
      </c>
      <c r="H504" s="7" t="n">
        <v>36</v>
      </c>
      <c r="I504" s="7" t="n">
        <v>44</v>
      </c>
      <c r="J504" s="7" t="n">
        <v>29</v>
      </c>
      <c r="K504" s="7" t="n">
        <v>83</v>
      </c>
      <c r="L504" s="7" t="n">
        <v>0</v>
      </c>
      <c r="M504" s="22" t="n">
        <v>0</v>
      </c>
      <c r="N504" s="3"/>
      <c r="O504" s="3"/>
      <c r="P504" s="3"/>
    </row>
    <row r="505" customFormat="false" ht="15.75" hidden="false" customHeight="true" outlineLevel="0" collapsed="false">
      <c r="A505" s="8" t="n">
        <v>45831</v>
      </c>
      <c r="B505" s="7" t="s">
        <v>161</v>
      </c>
      <c r="C505" s="7" t="s">
        <v>92</v>
      </c>
      <c r="D505" s="7" t="s">
        <v>158</v>
      </c>
      <c r="E505" s="7" t="s">
        <v>159</v>
      </c>
      <c r="F505" s="7" t="s">
        <v>160</v>
      </c>
      <c r="G505" s="7" t="s">
        <v>39</v>
      </c>
      <c r="H505" s="7" t="n">
        <v>36</v>
      </c>
      <c r="I505" s="7" t="n">
        <v>44</v>
      </c>
      <c r="J505" s="7" t="n">
        <v>29</v>
      </c>
      <c r="K505" s="7" t="n">
        <v>83</v>
      </c>
      <c r="L505" s="7" t="n">
        <v>0</v>
      </c>
      <c r="M505" s="22" t="n">
        <v>0</v>
      </c>
      <c r="N505" s="3"/>
      <c r="O505" s="3"/>
      <c r="P505" s="3"/>
    </row>
    <row r="506" customFormat="false" ht="15.75" hidden="false" customHeight="true" outlineLevel="0" collapsed="false">
      <c r="A506" s="8" t="n">
        <v>45831</v>
      </c>
      <c r="B506" s="7" t="s">
        <v>162</v>
      </c>
      <c r="C506" s="7" t="s">
        <v>97</v>
      </c>
      <c r="D506" s="7" t="s">
        <v>158</v>
      </c>
      <c r="E506" s="7" t="s">
        <v>159</v>
      </c>
      <c r="F506" s="7" t="s">
        <v>160</v>
      </c>
      <c r="G506" s="7" t="s">
        <v>39</v>
      </c>
      <c r="H506" s="7" t="n">
        <v>27</v>
      </c>
      <c r="I506" s="7" t="n">
        <v>33</v>
      </c>
      <c r="J506" s="7" t="n">
        <v>19</v>
      </c>
      <c r="K506" s="7" t="n">
        <v>104</v>
      </c>
      <c r="L506" s="7" t="n">
        <v>0</v>
      </c>
      <c r="M506" s="22" t="n">
        <v>0</v>
      </c>
      <c r="N506" s="3"/>
      <c r="O506" s="3"/>
      <c r="P506" s="3"/>
    </row>
    <row r="507" customFormat="false" ht="15.75" hidden="false" customHeight="true" outlineLevel="0" collapsed="false">
      <c r="A507" s="8" t="n">
        <v>45831</v>
      </c>
      <c r="B507" s="7" t="s">
        <v>163</v>
      </c>
      <c r="C507" s="7" t="s">
        <v>97</v>
      </c>
      <c r="D507" s="7" t="s">
        <v>158</v>
      </c>
      <c r="E507" s="7" t="s">
        <v>159</v>
      </c>
      <c r="F507" s="7" t="s">
        <v>160</v>
      </c>
      <c r="G507" s="7" t="s">
        <v>39</v>
      </c>
      <c r="H507" s="7" t="n">
        <v>34</v>
      </c>
      <c r="I507" s="7" t="n">
        <v>42</v>
      </c>
      <c r="J507" s="7" t="n">
        <v>25</v>
      </c>
      <c r="K507" s="7" t="n">
        <v>109</v>
      </c>
      <c r="L507" s="7" t="n">
        <v>0</v>
      </c>
      <c r="M507" s="22" t="n">
        <v>0</v>
      </c>
      <c r="N507" s="3"/>
      <c r="O507" s="3"/>
      <c r="P507" s="3"/>
    </row>
    <row r="508" customFormat="false" ht="15.75" hidden="false" customHeight="true" outlineLevel="0" collapsed="false">
      <c r="A508" s="8" t="n">
        <v>45831</v>
      </c>
      <c r="B508" s="7" t="s">
        <v>164</v>
      </c>
      <c r="C508" s="7" t="s">
        <v>87</v>
      </c>
      <c r="D508" s="7" t="s">
        <v>158</v>
      </c>
      <c r="E508" s="7" t="s">
        <v>159</v>
      </c>
      <c r="F508" s="7" t="s">
        <v>160</v>
      </c>
      <c r="G508" s="7" t="s">
        <v>39</v>
      </c>
      <c r="H508" s="7" t="n">
        <v>33</v>
      </c>
      <c r="I508" s="7" t="n">
        <v>40</v>
      </c>
      <c r="J508" s="7" t="n">
        <v>22</v>
      </c>
      <c r="K508" s="7" t="n">
        <v>64</v>
      </c>
      <c r="L508" s="7" t="n">
        <v>0</v>
      </c>
      <c r="M508" s="22" t="n">
        <v>0</v>
      </c>
      <c r="N508" s="3"/>
      <c r="O508" s="3"/>
      <c r="P508" s="3"/>
    </row>
    <row r="509" customFormat="false" ht="15.75" hidden="false" customHeight="true" outlineLevel="0" collapsed="false">
      <c r="A509" s="8" t="n">
        <v>45831</v>
      </c>
      <c r="B509" s="7" t="s">
        <v>166</v>
      </c>
      <c r="C509" s="7" t="s">
        <v>167</v>
      </c>
      <c r="D509" s="7" t="s">
        <v>158</v>
      </c>
      <c r="E509" s="7" t="s">
        <v>159</v>
      </c>
      <c r="F509" s="7" t="s">
        <v>165</v>
      </c>
      <c r="G509" s="7" t="s">
        <v>39</v>
      </c>
      <c r="H509" s="7" t="n">
        <v>11</v>
      </c>
      <c r="I509" s="7" t="n">
        <v>14</v>
      </c>
      <c r="J509" s="7" t="n">
        <v>7</v>
      </c>
      <c r="K509" s="7" t="n">
        <v>71</v>
      </c>
      <c r="L509" s="7" t="n">
        <v>0</v>
      </c>
      <c r="M509" s="22" t="n">
        <v>0</v>
      </c>
      <c r="N509" s="3"/>
      <c r="O509" s="3"/>
      <c r="P509" s="3"/>
    </row>
    <row r="510" customFormat="false" ht="15.75" hidden="false" customHeight="true" outlineLevel="0" collapsed="false">
      <c r="A510" s="8" t="n">
        <v>45832</v>
      </c>
      <c r="B510" s="7" t="s">
        <v>157</v>
      </c>
      <c r="C510" s="7" t="s">
        <v>92</v>
      </c>
      <c r="D510" s="7" t="s">
        <v>158</v>
      </c>
      <c r="E510" s="7" t="s">
        <v>159</v>
      </c>
      <c r="F510" s="7" t="s">
        <v>165</v>
      </c>
      <c r="G510" s="7" t="s">
        <v>39</v>
      </c>
      <c r="H510" s="7" t="n">
        <v>40</v>
      </c>
      <c r="I510" s="7" t="n">
        <v>49</v>
      </c>
      <c r="J510" s="7" t="n">
        <v>32</v>
      </c>
      <c r="K510" s="7" t="n">
        <v>97</v>
      </c>
      <c r="L510" s="7" t="n">
        <v>0</v>
      </c>
      <c r="M510" s="22" t="n">
        <v>0</v>
      </c>
      <c r="N510" s="3"/>
      <c r="O510" s="3"/>
      <c r="P510" s="3"/>
    </row>
    <row r="511" customFormat="false" ht="15.75" hidden="false" customHeight="true" outlineLevel="0" collapsed="false">
      <c r="A511" s="8" t="n">
        <v>45832</v>
      </c>
      <c r="B511" s="7" t="s">
        <v>161</v>
      </c>
      <c r="C511" s="7" t="s">
        <v>92</v>
      </c>
      <c r="D511" s="7" t="s">
        <v>158</v>
      </c>
      <c r="E511" s="7" t="s">
        <v>159</v>
      </c>
      <c r="F511" s="7" t="s">
        <v>165</v>
      </c>
      <c r="G511" s="7" t="s">
        <v>39</v>
      </c>
      <c r="H511" s="7" t="n">
        <v>35</v>
      </c>
      <c r="I511" s="7" t="n">
        <v>43</v>
      </c>
      <c r="J511" s="7" t="n">
        <v>28</v>
      </c>
      <c r="K511" s="7" t="n">
        <v>88</v>
      </c>
      <c r="L511" s="7" t="n">
        <v>0</v>
      </c>
      <c r="M511" s="22" t="n">
        <v>0</v>
      </c>
      <c r="N511" s="3"/>
      <c r="O511" s="3"/>
      <c r="P511" s="3"/>
    </row>
    <row r="512" customFormat="false" ht="15.75" hidden="false" customHeight="true" outlineLevel="0" collapsed="false">
      <c r="A512" s="8" t="n">
        <v>45832</v>
      </c>
      <c r="B512" s="7" t="s">
        <v>162</v>
      </c>
      <c r="C512" s="7" t="s">
        <v>97</v>
      </c>
      <c r="D512" s="7" t="s">
        <v>158</v>
      </c>
      <c r="E512" s="7" t="s">
        <v>159</v>
      </c>
      <c r="F512" s="7" t="s">
        <v>160</v>
      </c>
      <c r="G512" s="7" t="s">
        <v>39</v>
      </c>
      <c r="H512" s="7" t="n">
        <v>38</v>
      </c>
      <c r="I512" s="7" t="n">
        <v>46</v>
      </c>
      <c r="J512" s="7" t="n">
        <v>27</v>
      </c>
      <c r="K512" s="7" t="n">
        <v>101</v>
      </c>
      <c r="L512" s="7" t="n">
        <v>0</v>
      </c>
      <c r="M512" s="22" t="n">
        <v>0</v>
      </c>
      <c r="N512" s="3"/>
      <c r="O512" s="3"/>
      <c r="P512" s="3"/>
    </row>
    <row r="513" customFormat="false" ht="15.75" hidden="false" customHeight="true" outlineLevel="0" collapsed="false">
      <c r="A513" s="8" t="n">
        <v>45832</v>
      </c>
      <c r="B513" s="7" t="s">
        <v>163</v>
      </c>
      <c r="C513" s="7" t="s">
        <v>97</v>
      </c>
      <c r="D513" s="7" t="s">
        <v>158</v>
      </c>
      <c r="E513" s="7" t="s">
        <v>159</v>
      </c>
      <c r="F513" s="7" t="s">
        <v>160</v>
      </c>
      <c r="G513" s="7" t="s">
        <v>39</v>
      </c>
      <c r="H513" s="7" t="n">
        <v>33</v>
      </c>
      <c r="I513" s="7" t="n">
        <v>40</v>
      </c>
      <c r="J513" s="7" t="n">
        <v>24</v>
      </c>
      <c r="K513" s="7" t="n">
        <v>98</v>
      </c>
      <c r="L513" s="7" t="n">
        <v>0</v>
      </c>
      <c r="M513" s="22" t="n">
        <v>0</v>
      </c>
      <c r="N513" s="3"/>
      <c r="O513" s="3"/>
      <c r="P513" s="3"/>
    </row>
    <row r="514" customFormat="false" ht="15.75" hidden="false" customHeight="true" outlineLevel="0" collapsed="false">
      <c r="A514" s="8" t="n">
        <v>45832</v>
      </c>
      <c r="B514" s="7" t="s">
        <v>164</v>
      </c>
      <c r="C514" s="7" t="s">
        <v>87</v>
      </c>
      <c r="D514" s="7" t="s">
        <v>158</v>
      </c>
      <c r="E514" s="7" t="s">
        <v>159</v>
      </c>
      <c r="F514" s="7" t="s">
        <v>160</v>
      </c>
      <c r="G514" s="7" t="s">
        <v>39</v>
      </c>
      <c r="H514" s="7" t="n">
        <v>20</v>
      </c>
      <c r="I514" s="7" t="n">
        <v>25</v>
      </c>
      <c r="J514" s="7" t="n">
        <v>14</v>
      </c>
      <c r="K514" s="7" t="n">
        <v>79</v>
      </c>
      <c r="L514" s="7" t="n">
        <v>0</v>
      </c>
      <c r="M514" s="22" t="n">
        <v>0</v>
      </c>
      <c r="N514" s="3"/>
      <c r="O514" s="3"/>
      <c r="P514" s="3"/>
    </row>
    <row r="515" customFormat="false" ht="15.75" hidden="false" customHeight="true" outlineLevel="0" collapsed="false">
      <c r="A515" s="8" t="n">
        <v>45832</v>
      </c>
      <c r="B515" s="7" t="s">
        <v>166</v>
      </c>
      <c r="C515" s="7" t="s">
        <v>167</v>
      </c>
      <c r="D515" s="7" t="s">
        <v>158</v>
      </c>
      <c r="E515" s="7" t="s">
        <v>159</v>
      </c>
      <c r="F515" s="7" t="s">
        <v>160</v>
      </c>
      <c r="G515" s="7" t="s">
        <v>39</v>
      </c>
      <c r="H515" s="7" t="n">
        <v>9</v>
      </c>
      <c r="I515" s="7" t="n">
        <v>12</v>
      </c>
      <c r="J515" s="7" t="n">
        <v>6</v>
      </c>
      <c r="K515" s="7" t="n">
        <v>65</v>
      </c>
      <c r="L515" s="7" t="n">
        <v>0</v>
      </c>
      <c r="M515" s="22" t="n">
        <v>0</v>
      </c>
      <c r="N515" s="3"/>
      <c r="O515" s="3"/>
      <c r="P515" s="3"/>
    </row>
    <row r="516" customFormat="false" ht="15.75" hidden="false" customHeight="true" outlineLevel="0" collapsed="false">
      <c r="A516" s="8" t="n">
        <v>45833</v>
      </c>
      <c r="B516" s="7" t="s">
        <v>157</v>
      </c>
      <c r="C516" s="7" t="s">
        <v>92</v>
      </c>
      <c r="D516" s="7" t="s">
        <v>158</v>
      </c>
      <c r="E516" s="7" t="s">
        <v>159</v>
      </c>
      <c r="F516" s="7" t="s">
        <v>160</v>
      </c>
      <c r="G516" s="7" t="s">
        <v>39</v>
      </c>
      <c r="H516" s="7" t="n">
        <v>48</v>
      </c>
      <c r="I516" s="7" t="n">
        <v>58</v>
      </c>
      <c r="J516" s="7" t="n">
        <v>38</v>
      </c>
      <c r="K516" s="7" t="n">
        <v>91</v>
      </c>
      <c r="L516" s="7" t="n">
        <v>0</v>
      </c>
      <c r="M516" s="22" t="n">
        <v>0</v>
      </c>
      <c r="N516" s="3"/>
      <c r="O516" s="3"/>
      <c r="P516" s="3"/>
    </row>
    <row r="517" customFormat="false" ht="15.75" hidden="false" customHeight="true" outlineLevel="0" collapsed="false">
      <c r="A517" s="8" t="n">
        <v>45833</v>
      </c>
      <c r="B517" s="7" t="s">
        <v>161</v>
      </c>
      <c r="C517" s="7" t="s">
        <v>92</v>
      </c>
      <c r="D517" s="7" t="s">
        <v>158</v>
      </c>
      <c r="E517" s="7" t="s">
        <v>159</v>
      </c>
      <c r="F517" s="7" t="s">
        <v>165</v>
      </c>
      <c r="G517" s="7" t="s">
        <v>39</v>
      </c>
      <c r="H517" s="7" t="n">
        <v>47</v>
      </c>
      <c r="I517" s="7" t="n">
        <v>57</v>
      </c>
      <c r="J517" s="7" t="n">
        <v>37</v>
      </c>
      <c r="K517" s="7" t="n">
        <v>95</v>
      </c>
      <c r="L517" s="7" t="n">
        <v>0</v>
      </c>
      <c r="M517" s="22" t="n">
        <v>0</v>
      </c>
      <c r="N517" s="3"/>
      <c r="O517" s="3"/>
      <c r="P517" s="3"/>
    </row>
    <row r="518" customFormat="false" ht="15.75" hidden="false" customHeight="true" outlineLevel="0" collapsed="false">
      <c r="A518" s="8" t="n">
        <v>45833</v>
      </c>
      <c r="B518" s="7" t="s">
        <v>162</v>
      </c>
      <c r="C518" s="7" t="s">
        <v>97</v>
      </c>
      <c r="D518" s="7" t="s">
        <v>158</v>
      </c>
      <c r="E518" s="7" t="s">
        <v>159</v>
      </c>
      <c r="F518" s="7" t="s">
        <v>165</v>
      </c>
      <c r="G518" s="7" t="s">
        <v>39</v>
      </c>
      <c r="H518" s="7" t="n">
        <v>26</v>
      </c>
      <c r="I518" s="7" t="n">
        <v>32</v>
      </c>
      <c r="J518" s="7" t="n">
        <v>19</v>
      </c>
      <c r="K518" s="7" t="n">
        <v>113</v>
      </c>
      <c r="L518" s="7" t="n">
        <v>0</v>
      </c>
      <c r="M518" s="22" t="n">
        <v>0</v>
      </c>
      <c r="N518" s="3"/>
      <c r="O518" s="3"/>
      <c r="P518" s="3"/>
    </row>
    <row r="519" customFormat="false" ht="15.75" hidden="false" customHeight="true" outlineLevel="0" collapsed="false">
      <c r="A519" s="8" t="n">
        <v>45833</v>
      </c>
      <c r="B519" s="7" t="s">
        <v>163</v>
      </c>
      <c r="C519" s="7" t="s">
        <v>97</v>
      </c>
      <c r="D519" s="7" t="s">
        <v>158</v>
      </c>
      <c r="E519" s="7" t="s">
        <v>159</v>
      </c>
      <c r="F519" s="7" t="s">
        <v>160</v>
      </c>
      <c r="G519" s="7" t="s">
        <v>39</v>
      </c>
      <c r="H519" s="7" t="n">
        <v>34</v>
      </c>
      <c r="I519" s="7" t="n">
        <v>42</v>
      </c>
      <c r="J519" s="7" t="n">
        <v>25</v>
      </c>
      <c r="K519" s="7" t="n">
        <v>106</v>
      </c>
      <c r="L519" s="7" t="n">
        <v>0</v>
      </c>
      <c r="M519" s="22" t="n">
        <v>0</v>
      </c>
      <c r="N519" s="3"/>
      <c r="O519" s="3"/>
      <c r="P519" s="3"/>
    </row>
    <row r="520" customFormat="false" ht="15.75" hidden="false" customHeight="true" outlineLevel="0" collapsed="false">
      <c r="A520" s="8" t="n">
        <v>45833</v>
      </c>
      <c r="B520" s="7" t="s">
        <v>164</v>
      </c>
      <c r="C520" s="7" t="s">
        <v>87</v>
      </c>
      <c r="D520" s="7" t="s">
        <v>158</v>
      </c>
      <c r="E520" s="7" t="s">
        <v>159</v>
      </c>
      <c r="F520" s="7" t="s">
        <v>160</v>
      </c>
      <c r="G520" s="7" t="s">
        <v>39</v>
      </c>
      <c r="H520" s="7" t="n">
        <v>34</v>
      </c>
      <c r="I520" s="7" t="n">
        <v>41</v>
      </c>
      <c r="J520" s="7" t="n">
        <v>22</v>
      </c>
      <c r="K520" s="7" t="n">
        <v>67</v>
      </c>
      <c r="L520" s="7" t="n">
        <v>0</v>
      </c>
      <c r="M520" s="22" t="n">
        <v>0</v>
      </c>
      <c r="N520" s="3"/>
      <c r="O520" s="3"/>
      <c r="P520" s="3"/>
    </row>
    <row r="521" customFormat="false" ht="15.75" hidden="false" customHeight="true" outlineLevel="0" collapsed="false">
      <c r="A521" s="8" t="n">
        <v>45833</v>
      </c>
      <c r="B521" s="7" t="s">
        <v>166</v>
      </c>
      <c r="C521" s="7" t="s">
        <v>167</v>
      </c>
      <c r="D521" s="7" t="s">
        <v>158</v>
      </c>
      <c r="E521" s="7" t="s">
        <v>159</v>
      </c>
      <c r="F521" s="7" t="s">
        <v>160</v>
      </c>
      <c r="G521" s="7" t="s">
        <v>39</v>
      </c>
      <c r="H521" s="7" t="n">
        <v>14</v>
      </c>
      <c r="I521" s="7" t="n">
        <v>17</v>
      </c>
      <c r="J521" s="7" t="n">
        <v>9</v>
      </c>
      <c r="K521" s="7" t="n">
        <v>79</v>
      </c>
      <c r="L521" s="7" t="n">
        <v>0</v>
      </c>
      <c r="M521" s="22" t="n">
        <v>0</v>
      </c>
      <c r="N521" s="3"/>
      <c r="O521" s="3"/>
      <c r="P521" s="3"/>
    </row>
    <row r="522" customFormat="false" ht="15.75" hidden="false" customHeight="true" outlineLevel="0" collapsed="false">
      <c r="A522" s="8" t="n">
        <v>45834</v>
      </c>
      <c r="B522" s="7" t="s">
        <v>157</v>
      </c>
      <c r="C522" s="7" t="s">
        <v>92</v>
      </c>
      <c r="D522" s="7" t="s">
        <v>158</v>
      </c>
      <c r="E522" s="7" t="s">
        <v>159</v>
      </c>
      <c r="F522" s="7" t="s">
        <v>160</v>
      </c>
      <c r="G522" s="7" t="s">
        <v>39</v>
      </c>
      <c r="H522" s="7" t="n">
        <v>43</v>
      </c>
      <c r="I522" s="7" t="n">
        <v>53</v>
      </c>
      <c r="J522" s="7" t="n">
        <v>34</v>
      </c>
      <c r="K522" s="7" t="n">
        <v>103</v>
      </c>
      <c r="L522" s="7" t="n">
        <v>0</v>
      </c>
      <c r="M522" s="22" t="n">
        <v>0</v>
      </c>
      <c r="N522" s="3"/>
      <c r="O522" s="3"/>
      <c r="P522" s="3"/>
    </row>
    <row r="523" customFormat="false" ht="15.75" hidden="false" customHeight="true" outlineLevel="0" collapsed="false">
      <c r="A523" s="8" t="n">
        <v>45834</v>
      </c>
      <c r="B523" s="7" t="s">
        <v>161</v>
      </c>
      <c r="C523" s="7" t="s">
        <v>92</v>
      </c>
      <c r="D523" s="7" t="s">
        <v>158</v>
      </c>
      <c r="E523" s="7" t="s">
        <v>159</v>
      </c>
      <c r="F523" s="7" t="s">
        <v>165</v>
      </c>
      <c r="G523" s="7" t="s">
        <v>39</v>
      </c>
      <c r="H523" s="7" t="n">
        <v>42</v>
      </c>
      <c r="I523" s="7" t="n">
        <v>51</v>
      </c>
      <c r="J523" s="7" t="n">
        <v>33</v>
      </c>
      <c r="K523" s="7" t="n">
        <v>91</v>
      </c>
      <c r="L523" s="7" t="n">
        <v>0</v>
      </c>
      <c r="M523" s="22" t="n">
        <v>0</v>
      </c>
      <c r="N523" s="3"/>
      <c r="O523" s="3"/>
      <c r="P523" s="3"/>
    </row>
    <row r="524" customFormat="false" ht="15.75" hidden="false" customHeight="true" outlineLevel="0" collapsed="false">
      <c r="A524" s="8" t="n">
        <v>45834</v>
      </c>
      <c r="B524" s="7" t="s">
        <v>162</v>
      </c>
      <c r="C524" s="7" t="s">
        <v>97</v>
      </c>
      <c r="D524" s="7" t="s">
        <v>158</v>
      </c>
      <c r="E524" s="7" t="s">
        <v>159</v>
      </c>
      <c r="F524" s="7" t="s">
        <v>160</v>
      </c>
      <c r="G524" s="7" t="s">
        <v>39</v>
      </c>
      <c r="H524" s="7" t="n">
        <v>32</v>
      </c>
      <c r="I524" s="7" t="n">
        <v>39</v>
      </c>
      <c r="J524" s="7" t="n">
        <v>23</v>
      </c>
      <c r="K524" s="7" t="n">
        <v>117</v>
      </c>
      <c r="L524" s="7" t="n">
        <v>0</v>
      </c>
      <c r="M524" s="22" t="n">
        <v>0</v>
      </c>
      <c r="N524" s="3"/>
      <c r="O524" s="3"/>
      <c r="P524" s="3"/>
    </row>
    <row r="525" customFormat="false" ht="15.75" hidden="false" customHeight="true" outlineLevel="0" collapsed="false">
      <c r="A525" s="8" t="n">
        <v>45834</v>
      </c>
      <c r="B525" s="7" t="s">
        <v>163</v>
      </c>
      <c r="C525" s="7" t="s">
        <v>97</v>
      </c>
      <c r="D525" s="7" t="s">
        <v>158</v>
      </c>
      <c r="E525" s="7" t="s">
        <v>159</v>
      </c>
      <c r="F525" s="7" t="s">
        <v>160</v>
      </c>
      <c r="G525" s="7" t="s">
        <v>39</v>
      </c>
      <c r="H525" s="7" t="n">
        <v>29</v>
      </c>
      <c r="I525" s="7" t="n">
        <v>35</v>
      </c>
      <c r="J525" s="7" t="n">
        <v>21</v>
      </c>
      <c r="K525" s="7" t="n">
        <v>121</v>
      </c>
      <c r="L525" s="7" t="n">
        <v>0</v>
      </c>
      <c r="M525" s="22" t="n">
        <v>0</v>
      </c>
      <c r="N525" s="3"/>
      <c r="O525" s="3"/>
      <c r="P525" s="3"/>
    </row>
    <row r="526" customFormat="false" ht="15.75" hidden="false" customHeight="true" outlineLevel="0" collapsed="false">
      <c r="A526" s="8" t="n">
        <v>45834</v>
      </c>
      <c r="B526" s="7" t="s">
        <v>164</v>
      </c>
      <c r="C526" s="7" t="s">
        <v>87</v>
      </c>
      <c r="D526" s="7" t="s">
        <v>158</v>
      </c>
      <c r="E526" s="7" t="s">
        <v>159</v>
      </c>
      <c r="F526" s="7" t="s">
        <v>160</v>
      </c>
      <c r="G526" s="7" t="s">
        <v>39</v>
      </c>
      <c r="H526" s="7" t="n">
        <v>22</v>
      </c>
      <c r="I526" s="7" t="n">
        <v>27</v>
      </c>
      <c r="J526" s="7" t="n">
        <v>15</v>
      </c>
      <c r="K526" s="7" t="n">
        <v>80</v>
      </c>
      <c r="L526" s="7" t="n">
        <v>0</v>
      </c>
      <c r="M526" s="22" t="n">
        <v>0</v>
      </c>
      <c r="N526" s="3"/>
      <c r="O526" s="3"/>
      <c r="P526" s="3"/>
    </row>
    <row r="527" customFormat="false" ht="15.75" hidden="false" customHeight="true" outlineLevel="0" collapsed="false">
      <c r="A527" s="8" t="n">
        <v>45834</v>
      </c>
      <c r="B527" s="7" t="s">
        <v>166</v>
      </c>
      <c r="C527" s="7" t="s">
        <v>167</v>
      </c>
      <c r="D527" s="7" t="s">
        <v>158</v>
      </c>
      <c r="E527" s="7" t="s">
        <v>159</v>
      </c>
      <c r="F527" s="7" t="s">
        <v>160</v>
      </c>
      <c r="G527" s="7" t="s">
        <v>39</v>
      </c>
      <c r="H527" s="7" t="n">
        <v>9</v>
      </c>
      <c r="I527" s="7" t="n">
        <v>11</v>
      </c>
      <c r="J527" s="7" t="n">
        <v>6</v>
      </c>
      <c r="K527" s="7" t="n">
        <v>74</v>
      </c>
      <c r="L527" s="7" t="n">
        <v>0</v>
      </c>
      <c r="M527" s="22" t="n">
        <v>0</v>
      </c>
      <c r="N527" s="3"/>
      <c r="O527" s="3"/>
      <c r="P527" s="3"/>
    </row>
    <row r="528" customFormat="false" ht="15.75" hidden="false" customHeight="true" outlineLevel="0" collapsed="false">
      <c r="A528" s="8" t="n">
        <v>45835</v>
      </c>
      <c r="B528" s="7" t="s">
        <v>157</v>
      </c>
      <c r="C528" s="7" t="s">
        <v>92</v>
      </c>
      <c r="D528" s="7" t="s">
        <v>158</v>
      </c>
      <c r="E528" s="7" t="s">
        <v>159</v>
      </c>
      <c r="F528" s="7" t="s">
        <v>160</v>
      </c>
      <c r="G528" s="7" t="s">
        <v>39</v>
      </c>
      <c r="H528" s="7" t="n">
        <v>43</v>
      </c>
      <c r="I528" s="7" t="n">
        <v>53</v>
      </c>
      <c r="J528" s="7" t="n">
        <v>34</v>
      </c>
      <c r="K528" s="7" t="n">
        <v>94</v>
      </c>
      <c r="L528" s="7" t="n">
        <v>0</v>
      </c>
      <c r="M528" s="22" t="n">
        <v>0</v>
      </c>
      <c r="N528" s="3"/>
      <c r="O528" s="3"/>
      <c r="P528" s="3"/>
    </row>
    <row r="529" customFormat="false" ht="15.75" hidden="false" customHeight="true" outlineLevel="0" collapsed="false">
      <c r="A529" s="8" t="n">
        <v>45835</v>
      </c>
      <c r="B529" s="7" t="s">
        <v>161</v>
      </c>
      <c r="C529" s="7" t="s">
        <v>92</v>
      </c>
      <c r="D529" s="7" t="s">
        <v>158</v>
      </c>
      <c r="E529" s="7" t="s">
        <v>159</v>
      </c>
      <c r="F529" s="7" t="s">
        <v>160</v>
      </c>
      <c r="G529" s="7" t="s">
        <v>39</v>
      </c>
      <c r="H529" s="7" t="n">
        <v>34</v>
      </c>
      <c r="I529" s="7" t="n">
        <v>42</v>
      </c>
      <c r="J529" s="7" t="n">
        <v>27</v>
      </c>
      <c r="K529" s="7" t="n">
        <v>95</v>
      </c>
      <c r="L529" s="7" t="n">
        <v>0</v>
      </c>
      <c r="M529" s="22" t="n">
        <v>0</v>
      </c>
      <c r="N529" s="3"/>
      <c r="O529" s="3"/>
      <c r="P529" s="3"/>
    </row>
    <row r="530" customFormat="false" ht="15.75" hidden="false" customHeight="true" outlineLevel="0" collapsed="false">
      <c r="A530" s="8" t="n">
        <v>45835</v>
      </c>
      <c r="B530" s="7" t="s">
        <v>162</v>
      </c>
      <c r="C530" s="7" t="s">
        <v>97</v>
      </c>
      <c r="D530" s="7" t="s">
        <v>158</v>
      </c>
      <c r="E530" s="7" t="s">
        <v>159</v>
      </c>
      <c r="F530" s="7" t="s">
        <v>165</v>
      </c>
      <c r="G530" s="7" t="s">
        <v>39</v>
      </c>
      <c r="H530" s="7" t="n">
        <v>26</v>
      </c>
      <c r="I530" s="7" t="n">
        <v>32</v>
      </c>
      <c r="J530" s="7" t="n">
        <v>19</v>
      </c>
      <c r="K530" s="7" t="n">
        <v>108</v>
      </c>
      <c r="L530" s="7" t="n">
        <v>0</v>
      </c>
      <c r="M530" s="22" t="n">
        <v>0</v>
      </c>
      <c r="N530" s="3"/>
      <c r="O530" s="3"/>
      <c r="P530" s="3"/>
    </row>
    <row r="531" customFormat="false" ht="15.75" hidden="false" customHeight="true" outlineLevel="0" collapsed="false">
      <c r="A531" s="8" t="n">
        <v>45835</v>
      </c>
      <c r="B531" s="7" t="s">
        <v>163</v>
      </c>
      <c r="C531" s="7" t="s">
        <v>97</v>
      </c>
      <c r="D531" s="7" t="s">
        <v>158</v>
      </c>
      <c r="E531" s="7" t="s">
        <v>159</v>
      </c>
      <c r="F531" s="7" t="s">
        <v>160</v>
      </c>
      <c r="G531" s="7" t="s">
        <v>39</v>
      </c>
      <c r="H531" s="7" t="n">
        <v>29</v>
      </c>
      <c r="I531" s="7" t="n">
        <v>35</v>
      </c>
      <c r="J531" s="7" t="n">
        <v>21</v>
      </c>
      <c r="K531" s="7" t="n">
        <v>98</v>
      </c>
      <c r="L531" s="7" t="n">
        <v>0</v>
      </c>
      <c r="M531" s="22" t="n">
        <v>0</v>
      </c>
      <c r="N531" s="3"/>
      <c r="O531" s="3"/>
      <c r="P531" s="3"/>
    </row>
    <row r="532" customFormat="false" ht="15.75" hidden="false" customHeight="true" outlineLevel="0" collapsed="false">
      <c r="A532" s="8" t="n">
        <v>45835</v>
      </c>
      <c r="B532" s="7" t="s">
        <v>164</v>
      </c>
      <c r="C532" s="7" t="s">
        <v>87</v>
      </c>
      <c r="D532" s="7" t="s">
        <v>158</v>
      </c>
      <c r="E532" s="7" t="s">
        <v>159</v>
      </c>
      <c r="F532" s="7" t="s">
        <v>165</v>
      </c>
      <c r="G532" s="7" t="s">
        <v>39</v>
      </c>
      <c r="H532" s="7" t="n">
        <v>34</v>
      </c>
      <c r="I532" s="7" t="n">
        <v>41</v>
      </c>
      <c r="J532" s="7" t="n">
        <v>22</v>
      </c>
      <c r="K532" s="7" t="n">
        <v>66</v>
      </c>
      <c r="L532" s="7" t="n">
        <v>0</v>
      </c>
      <c r="M532" s="22" t="n">
        <v>0</v>
      </c>
      <c r="N532" s="3"/>
      <c r="O532" s="3"/>
      <c r="P532" s="3"/>
    </row>
    <row r="533" customFormat="false" ht="15.75" hidden="false" customHeight="true" outlineLevel="0" collapsed="false">
      <c r="A533" s="8" t="n">
        <v>45835</v>
      </c>
      <c r="B533" s="7" t="s">
        <v>166</v>
      </c>
      <c r="C533" s="7" t="s">
        <v>167</v>
      </c>
      <c r="D533" s="7" t="s">
        <v>158</v>
      </c>
      <c r="E533" s="7" t="s">
        <v>159</v>
      </c>
      <c r="F533" s="7" t="s">
        <v>160</v>
      </c>
      <c r="G533" s="7" t="s">
        <v>39</v>
      </c>
      <c r="H533" s="7" t="n">
        <v>15</v>
      </c>
      <c r="I533" s="7" t="n">
        <v>19</v>
      </c>
      <c r="J533" s="7" t="n">
        <v>10</v>
      </c>
      <c r="K533" s="7" t="n">
        <v>78</v>
      </c>
      <c r="L533" s="7" t="n">
        <v>0</v>
      </c>
      <c r="M533" s="22" t="n">
        <v>0</v>
      </c>
      <c r="N533" s="3"/>
      <c r="O533" s="3"/>
      <c r="P533" s="3"/>
    </row>
    <row r="534" customFormat="false" ht="15.75" hidden="false" customHeight="true" outlineLevel="0" collapsed="false">
      <c r="A534" s="8" t="n">
        <v>45836</v>
      </c>
      <c r="B534" s="7" t="s">
        <v>157</v>
      </c>
      <c r="C534" s="7" t="s">
        <v>92</v>
      </c>
      <c r="D534" s="7" t="s">
        <v>158</v>
      </c>
      <c r="E534" s="7" t="s">
        <v>159</v>
      </c>
      <c r="F534" s="7" t="s">
        <v>160</v>
      </c>
      <c r="G534" s="7" t="s">
        <v>39</v>
      </c>
      <c r="H534" s="7" t="n">
        <v>39</v>
      </c>
      <c r="I534" s="7" t="n">
        <v>47</v>
      </c>
      <c r="J534" s="7" t="n">
        <v>31</v>
      </c>
      <c r="K534" s="7" t="n">
        <v>91</v>
      </c>
      <c r="L534" s="7" t="n">
        <v>0</v>
      </c>
      <c r="M534" s="22" t="n">
        <v>0</v>
      </c>
      <c r="N534" s="3"/>
      <c r="O534" s="3"/>
      <c r="P534" s="3"/>
    </row>
    <row r="535" customFormat="false" ht="15.75" hidden="false" customHeight="true" outlineLevel="0" collapsed="false">
      <c r="A535" s="8" t="n">
        <v>45836</v>
      </c>
      <c r="B535" s="7" t="s">
        <v>161</v>
      </c>
      <c r="C535" s="7" t="s">
        <v>92</v>
      </c>
      <c r="D535" s="7" t="s">
        <v>158</v>
      </c>
      <c r="E535" s="7" t="s">
        <v>159</v>
      </c>
      <c r="F535" s="7" t="s">
        <v>160</v>
      </c>
      <c r="G535" s="7" t="s">
        <v>39</v>
      </c>
      <c r="H535" s="7" t="n">
        <v>43</v>
      </c>
      <c r="I535" s="7" t="n">
        <v>52</v>
      </c>
      <c r="J535" s="7" t="n">
        <v>34</v>
      </c>
      <c r="K535" s="7" t="n">
        <v>88</v>
      </c>
      <c r="L535" s="7" t="n">
        <v>0</v>
      </c>
      <c r="M535" s="22" t="n">
        <v>0</v>
      </c>
      <c r="N535" s="3"/>
      <c r="O535" s="3"/>
      <c r="P535" s="3"/>
    </row>
    <row r="536" customFormat="false" ht="15.75" hidden="false" customHeight="true" outlineLevel="0" collapsed="false">
      <c r="A536" s="8" t="n">
        <v>45836</v>
      </c>
      <c r="B536" s="7" t="s">
        <v>162</v>
      </c>
      <c r="C536" s="7" t="s">
        <v>97</v>
      </c>
      <c r="D536" s="7" t="s">
        <v>158</v>
      </c>
      <c r="E536" s="7" t="s">
        <v>159</v>
      </c>
      <c r="F536" s="7" t="s">
        <v>160</v>
      </c>
      <c r="G536" s="7" t="s">
        <v>39</v>
      </c>
      <c r="H536" s="7" t="n">
        <v>24</v>
      </c>
      <c r="I536" s="7" t="n">
        <v>29</v>
      </c>
      <c r="J536" s="7" t="n">
        <v>17</v>
      </c>
      <c r="K536" s="7" t="n">
        <v>102</v>
      </c>
      <c r="L536" s="7" t="n">
        <v>0</v>
      </c>
      <c r="M536" s="22" t="n">
        <v>0</v>
      </c>
      <c r="N536" s="3"/>
      <c r="O536" s="3"/>
      <c r="P536" s="3"/>
    </row>
    <row r="537" customFormat="false" ht="15.75" hidden="false" customHeight="true" outlineLevel="0" collapsed="false">
      <c r="A537" s="8" t="n">
        <v>45836</v>
      </c>
      <c r="B537" s="7" t="s">
        <v>163</v>
      </c>
      <c r="C537" s="7" t="s">
        <v>97</v>
      </c>
      <c r="D537" s="7" t="s">
        <v>158</v>
      </c>
      <c r="E537" s="7" t="s">
        <v>159</v>
      </c>
      <c r="F537" s="7" t="s">
        <v>160</v>
      </c>
      <c r="G537" s="7" t="s">
        <v>39</v>
      </c>
      <c r="H537" s="7" t="n">
        <v>34</v>
      </c>
      <c r="I537" s="7" t="n">
        <v>41</v>
      </c>
      <c r="J537" s="7" t="n">
        <v>24</v>
      </c>
      <c r="K537" s="7" t="n">
        <v>118</v>
      </c>
      <c r="L537" s="7" t="n">
        <v>0</v>
      </c>
      <c r="M537" s="22" t="n">
        <v>0</v>
      </c>
      <c r="N537" s="3"/>
      <c r="O537" s="3"/>
      <c r="P537" s="3"/>
    </row>
    <row r="538" customFormat="false" ht="15.75" hidden="false" customHeight="true" outlineLevel="0" collapsed="false">
      <c r="A538" s="8" t="n">
        <v>45836</v>
      </c>
      <c r="B538" s="7" t="s">
        <v>164</v>
      </c>
      <c r="C538" s="7" t="s">
        <v>87</v>
      </c>
      <c r="D538" s="7" t="s">
        <v>158</v>
      </c>
      <c r="E538" s="7" t="s">
        <v>159</v>
      </c>
      <c r="F538" s="7" t="s">
        <v>160</v>
      </c>
      <c r="G538" s="7" t="s">
        <v>39</v>
      </c>
      <c r="H538" s="7" t="n">
        <v>28</v>
      </c>
      <c r="I538" s="7" t="n">
        <v>34</v>
      </c>
      <c r="J538" s="7" t="n">
        <v>19</v>
      </c>
      <c r="K538" s="7" t="n">
        <v>77</v>
      </c>
      <c r="L538" s="7" t="n">
        <v>0</v>
      </c>
      <c r="M538" s="22" t="n">
        <v>0</v>
      </c>
      <c r="N538" s="3"/>
      <c r="O538" s="3"/>
      <c r="P538" s="3"/>
    </row>
    <row r="539" customFormat="false" ht="15.75" hidden="false" customHeight="true" outlineLevel="0" collapsed="false">
      <c r="A539" s="8" t="n">
        <v>45836</v>
      </c>
      <c r="B539" s="7" t="s">
        <v>166</v>
      </c>
      <c r="C539" s="7" t="s">
        <v>167</v>
      </c>
      <c r="D539" s="7" t="s">
        <v>158</v>
      </c>
      <c r="E539" s="7" t="s">
        <v>159</v>
      </c>
      <c r="F539" s="7" t="s">
        <v>160</v>
      </c>
      <c r="G539" s="7" t="s">
        <v>39</v>
      </c>
      <c r="H539" s="7" t="n">
        <v>18</v>
      </c>
      <c r="I539" s="7" t="n">
        <v>22</v>
      </c>
      <c r="J539" s="7" t="n">
        <v>12</v>
      </c>
      <c r="K539" s="7" t="n">
        <v>81</v>
      </c>
      <c r="L539" s="7" t="n">
        <v>0</v>
      </c>
      <c r="M539" s="22" t="n">
        <v>0</v>
      </c>
      <c r="N539" s="3"/>
      <c r="O539" s="3"/>
      <c r="P539" s="3"/>
    </row>
    <row r="540" customFormat="false" ht="15.75" hidden="false" customHeight="true" outlineLevel="0" collapsed="false">
      <c r="A540" s="8" t="n">
        <v>45837</v>
      </c>
      <c r="B540" s="7" t="s">
        <v>157</v>
      </c>
      <c r="C540" s="7" t="s">
        <v>92</v>
      </c>
      <c r="D540" s="7" t="s">
        <v>158</v>
      </c>
      <c r="E540" s="7" t="s">
        <v>159</v>
      </c>
      <c r="F540" s="7" t="s">
        <v>160</v>
      </c>
      <c r="G540" s="7" t="s">
        <v>39</v>
      </c>
      <c r="H540" s="7" t="n">
        <v>46</v>
      </c>
      <c r="I540" s="7" t="n">
        <v>56</v>
      </c>
      <c r="J540" s="7" t="n">
        <v>36</v>
      </c>
      <c r="K540" s="7" t="n">
        <v>96</v>
      </c>
      <c r="L540" s="7" t="n">
        <v>0</v>
      </c>
      <c r="M540" s="22" t="n">
        <v>0</v>
      </c>
      <c r="N540" s="3"/>
      <c r="O540" s="3"/>
      <c r="P540" s="3"/>
    </row>
    <row r="541" customFormat="false" ht="15.75" hidden="false" customHeight="true" outlineLevel="0" collapsed="false">
      <c r="A541" s="8" t="n">
        <v>45837</v>
      </c>
      <c r="B541" s="7" t="s">
        <v>161</v>
      </c>
      <c r="C541" s="7" t="s">
        <v>92</v>
      </c>
      <c r="D541" s="7" t="s">
        <v>158</v>
      </c>
      <c r="E541" s="7" t="s">
        <v>159</v>
      </c>
      <c r="F541" s="7" t="s">
        <v>160</v>
      </c>
      <c r="G541" s="7" t="s">
        <v>39</v>
      </c>
      <c r="H541" s="7" t="n">
        <v>44</v>
      </c>
      <c r="I541" s="7" t="n">
        <v>54</v>
      </c>
      <c r="J541" s="7" t="n">
        <v>35</v>
      </c>
      <c r="K541" s="7" t="n">
        <v>99</v>
      </c>
      <c r="L541" s="7" t="n">
        <v>0</v>
      </c>
      <c r="M541" s="22" t="n">
        <v>0</v>
      </c>
      <c r="N541" s="3"/>
      <c r="O541" s="3"/>
      <c r="P541" s="3"/>
    </row>
    <row r="542" customFormat="false" ht="15.75" hidden="false" customHeight="true" outlineLevel="0" collapsed="false">
      <c r="A542" s="8" t="n">
        <v>45837</v>
      </c>
      <c r="B542" s="7" t="s">
        <v>162</v>
      </c>
      <c r="C542" s="7" t="s">
        <v>97</v>
      </c>
      <c r="D542" s="7" t="s">
        <v>158</v>
      </c>
      <c r="E542" s="7" t="s">
        <v>159</v>
      </c>
      <c r="F542" s="7" t="s">
        <v>160</v>
      </c>
      <c r="G542" s="7" t="s">
        <v>39</v>
      </c>
      <c r="H542" s="7" t="n">
        <v>38</v>
      </c>
      <c r="I542" s="7" t="n">
        <v>46</v>
      </c>
      <c r="J542" s="7" t="n">
        <v>27</v>
      </c>
      <c r="K542" s="7" t="n">
        <v>116</v>
      </c>
      <c r="L542" s="7" t="n">
        <v>0</v>
      </c>
      <c r="M542" s="22" t="n">
        <v>0</v>
      </c>
      <c r="N542" s="3"/>
      <c r="O542" s="3"/>
      <c r="P542" s="3"/>
    </row>
    <row r="543" customFormat="false" ht="15.75" hidden="false" customHeight="true" outlineLevel="0" collapsed="false">
      <c r="A543" s="8" t="n">
        <v>45837</v>
      </c>
      <c r="B543" s="7" t="s">
        <v>163</v>
      </c>
      <c r="C543" s="7" t="s">
        <v>97</v>
      </c>
      <c r="D543" s="7" t="s">
        <v>158</v>
      </c>
      <c r="E543" s="7" t="s">
        <v>159</v>
      </c>
      <c r="F543" s="7" t="s">
        <v>160</v>
      </c>
      <c r="G543" s="7" t="s">
        <v>39</v>
      </c>
      <c r="H543" s="7" t="n">
        <v>24</v>
      </c>
      <c r="I543" s="7" t="n">
        <v>30</v>
      </c>
      <c r="J543" s="7" t="n">
        <v>18</v>
      </c>
      <c r="K543" s="7" t="n">
        <v>114</v>
      </c>
      <c r="L543" s="7" t="n">
        <v>0</v>
      </c>
      <c r="M543" s="22" t="n">
        <v>0</v>
      </c>
      <c r="N543" s="3"/>
      <c r="O543" s="3"/>
      <c r="P543" s="3"/>
    </row>
    <row r="544" customFormat="false" ht="15.75" hidden="false" customHeight="true" outlineLevel="0" collapsed="false">
      <c r="A544" s="8" t="n">
        <v>45837</v>
      </c>
      <c r="B544" s="7" t="s">
        <v>164</v>
      </c>
      <c r="C544" s="7" t="s">
        <v>87</v>
      </c>
      <c r="D544" s="7" t="s">
        <v>158</v>
      </c>
      <c r="E544" s="7" t="s">
        <v>159</v>
      </c>
      <c r="F544" s="7" t="s">
        <v>160</v>
      </c>
      <c r="G544" s="7" t="s">
        <v>39</v>
      </c>
      <c r="H544" s="7" t="n">
        <v>26</v>
      </c>
      <c r="I544" s="7" t="n">
        <v>32</v>
      </c>
      <c r="J544" s="7" t="n">
        <v>17</v>
      </c>
      <c r="K544" s="7" t="n">
        <v>81</v>
      </c>
      <c r="L544" s="7" t="n">
        <v>0</v>
      </c>
      <c r="M544" s="22" t="n">
        <v>0</v>
      </c>
      <c r="N544" s="3"/>
      <c r="O544" s="3"/>
      <c r="P544" s="3"/>
    </row>
    <row r="545" customFormat="false" ht="15.75" hidden="false" customHeight="true" outlineLevel="0" collapsed="false">
      <c r="A545" s="8" t="n">
        <v>45837</v>
      </c>
      <c r="B545" s="7" t="s">
        <v>166</v>
      </c>
      <c r="C545" s="7" t="s">
        <v>167</v>
      </c>
      <c r="D545" s="7" t="s">
        <v>158</v>
      </c>
      <c r="E545" s="7" t="s">
        <v>159</v>
      </c>
      <c r="F545" s="7" t="s">
        <v>160</v>
      </c>
      <c r="G545" s="7" t="s">
        <v>39</v>
      </c>
      <c r="H545" s="7" t="n">
        <v>13</v>
      </c>
      <c r="I545" s="7" t="n">
        <v>16</v>
      </c>
      <c r="J545" s="7" t="n">
        <v>8</v>
      </c>
      <c r="K545" s="7" t="n">
        <v>67</v>
      </c>
      <c r="L545" s="7" t="n">
        <v>0</v>
      </c>
      <c r="M545" s="22" t="n">
        <v>0</v>
      </c>
      <c r="N545" s="3"/>
      <c r="O545" s="3"/>
      <c r="P545" s="3"/>
    </row>
    <row r="546" customFormat="false" ht="15.75" hidden="false" customHeight="true" outlineLevel="0" collapsed="false">
      <c r="A546" s="8" t="n">
        <v>45838</v>
      </c>
      <c r="B546" s="7" t="s">
        <v>157</v>
      </c>
      <c r="C546" s="7" t="s">
        <v>92</v>
      </c>
      <c r="D546" s="7" t="s">
        <v>158</v>
      </c>
      <c r="E546" s="7" t="s">
        <v>159</v>
      </c>
      <c r="F546" s="7" t="s">
        <v>160</v>
      </c>
      <c r="G546" s="7" t="s">
        <v>39</v>
      </c>
      <c r="H546" s="7" t="n">
        <v>41</v>
      </c>
      <c r="I546" s="7" t="n">
        <v>50</v>
      </c>
      <c r="J546" s="7" t="n">
        <v>33</v>
      </c>
      <c r="K546" s="7" t="n">
        <v>106</v>
      </c>
      <c r="L546" s="7" t="n">
        <v>0</v>
      </c>
      <c r="M546" s="22" t="n">
        <v>0</v>
      </c>
      <c r="N546" s="3"/>
      <c r="O546" s="3"/>
      <c r="P546" s="3"/>
    </row>
    <row r="547" customFormat="false" ht="15.75" hidden="false" customHeight="true" outlineLevel="0" collapsed="false">
      <c r="A547" s="8" t="n">
        <v>45838</v>
      </c>
      <c r="B547" s="7" t="s">
        <v>161</v>
      </c>
      <c r="C547" s="7" t="s">
        <v>92</v>
      </c>
      <c r="D547" s="7" t="s">
        <v>158</v>
      </c>
      <c r="E547" s="7" t="s">
        <v>159</v>
      </c>
      <c r="F547" s="7" t="s">
        <v>160</v>
      </c>
      <c r="G547" s="7" t="s">
        <v>39</v>
      </c>
      <c r="H547" s="7" t="n">
        <v>47</v>
      </c>
      <c r="I547" s="7" t="n">
        <v>57</v>
      </c>
      <c r="J547" s="7" t="n">
        <v>37</v>
      </c>
      <c r="K547" s="7" t="n">
        <v>100</v>
      </c>
      <c r="L547" s="7" t="n">
        <v>0</v>
      </c>
      <c r="M547" s="22" t="n">
        <v>0</v>
      </c>
      <c r="N547" s="3"/>
      <c r="O547" s="3"/>
      <c r="P547" s="3"/>
    </row>
    <row r="548" customFormat="false" ht="15.75" hidden="false" customHeight="true" outlineLevel="0" collapsed="false">
      <c r="A548" s="8" t="n">
        <v>45838</v>
      </c>
      <c r="B548" s="7" t="s">
        <v>162</v>
      </c>
      <c r="C548" s="7" t="s">
        <v>97</v>
      </c>
      <c r="D548" s="7" t="s">
        <v>158</v>
      </c>
      <c r="E548" s="7" t="s">
        <v>159</v>
      </c>
      <c r="F548" s="7" t="s">
        <v>160</v>
      </c>
      <c r="G548" s="7" t="s">
        <v>39</v>
      </c>
      <c r="H548" s="7" t="n">
        <v>27</v>
      </c>
      <c r="I548" s="7" t="n">
        <v>33</v>
      </c>
      <c r="J548" s="7" t="n">
        <v>19</v>
      </c>
      <c r="K548" s="7" t="n">
        <v>122</v>
      </c>
      <c r="L548" s="7" t="n">
        <v>0</v>
      </c>
      <c r="M548" s="22" t="n">
        <v>0</v>
      </c>
      <c r="N548" s="3"/>
      <c r="O548" s="3"/>
      <c r="P548" s="3"/>
    </row>
    <row r="549" customFormat="false" ht="15.75" hidden="false" customHeight="true" outlineLevel="0" collapsed="false">
      <c r="A549" s="8" t="n">
        <v>45838</v>
      </c>
      <c r="B549" s="7" t="s">
        <v>163</v>
      </c>
      <c r="C549" s="7" t="s">
        <v>97</v>
      </c>
      <c r="D549" s="7" t="s">
        <v>158</v>
      </c>
      <c r="E549" s="7" t="s">
        <v>159</v>
      </c>
      <c r="F549" s="7" t="s">
        <v>165</v>
      </c>
      <c r="G549" s="7" t="s">
        <v>39</v>
      </c>
      <c r="H549" s="7" t="n">
        <v>28</v>
      </c>
      <c r="I549" s="7" t="n">
        <v>34</v>
      </c>
      <c r="J549" s="7" t="n">
        <v>20</v>
      </c>
      <c r="K549" s="7" t="n">
        <v>118</v>
      </c>
      <c r="L549" s="7" t="n">
        <v>0</v>
      </c>
      <c r="M549" s="22" t="n">
        <v>0</v>
      </c>
      <c r="N549" s="3"/>
      <c r="O549" s="3"/>
      <c r="P549" s="3"/>
    </row>
    <row r="550" customFormat="false" ht="15.75" hidden="false" customHeight="true" outlineLevel="0" collapsed="false">
      <c r="A550" s="8" t="n">
        <v>45838</v>
      </c>
      <c r="B550" s="7" t="s">
        <v>164</v>
      </c>
      <c r="C550" s="7" t="s">
        <v>87</v>
      </c>
      <c r="D550" s="7" t="s">
        <v>158</v>
      </c>
      <c r="E550" s="7" t="s">
        <v>159</v>
      </c>
      <c r="F550" s="7" t="s">
        <v>160</v>
      </c>
      <c r="G550" s="7" t="s">
        <v>39</v>
      </c>
      <c r="H550" s="7" t="n">
        <v>21</v>
      </c>
      <c r="I550" s="7" t="n">
        <v>26</v>
      </c>
      <c r="J550" s="7" t="n">
        <v>14</v>
      </c>
      <c r="K550" s="7" t="n">
        <v>66</v>
      </c>
      <c r="L550" s="7" t="n">
        <v>0</v>
      </c>
      <c r="M550" s="22" t="n">
        <v>0</v>
      </c>
      <c r="N550" s="3"/>
      <c r="O550" s="3"/>
      <c r="P550" s="3"/>
    </row>
    <row r="551" customFormat="false" ht="15.75" hidden="false" customHeight="true" outlineLevel="0" collapsed="false">
      <c r="A551" s="8" t="n">
        <v>45838</v>
      </c>
      <c r="B551" s="7" t="s">
        <v>166</v>
      </c>
      <c r="C551" s="7" t="s">
        <v>167</v>
      </c>
      <c r="D551" s="7" t="s">
        <v>158</v>
      </c>
      <c r="E551" s="7" t="s">
        <v>159</v>
      </c>
      <c r="F551" s="7" t="s">
        <v>165</v>
      </c>
      <c r="G551" s="7" t="s">
        <v>39</v>
      </c>
      <c r="H551" s="7" t="n">
        <v>11</v>
      </c>
      <c r="I551" s="7" t="n">
        <v>14</v>
      </c>
      <c r="J551" s="7" t="n">
        <v>7</v>
      </c>
      <c r="K551" s="7" t="n">
        <v>65</v>
      </c>
      <c r="L551" s="7" t="n">
        <v>0</v>
      </c>
      <c r="M551" s="22" t="n">
        <v>0</v>
      </c>
      <c r="N551" s="3"/>
      <c r="O551" s="3"/>
      <c r="P551" s="3"/>
    </row>
    <row r="552" customFormat="false" ht="15.7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</row>
    <row r="553" customFormat="false" ht="15.75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</row>
    <row r="554" customFormat="false" ht="15.7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</row>
    <row r="555" customFormat="false" ht="15.75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</row>
    <row r="556" customFormat="false" ht="15.7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</row>
    <row r="557" customFormat="false" ht="15.75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</row>
    <row r="558" customFormat="false" ht="15.7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</row>
    <row r="559" customFormat="false" ht="15.75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</row>
    <row r="560" customFormat="false" ht="15.7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</row>
    <row r="561" customFormat="false" ht="15.75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</row>
    <row r="562" customFormat="false" ht="15.7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</row>
    <row r="563" customFormat="false" ht="15.75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</row>
    <row r="564" customFormat="false" ht="15.7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</row>
    <row r="565" customFormat="false" ht="15.75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</row>
    <row r="566" customFormat="false" ht="15.7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</row>
    <row r="567" customFormat="false" ht="15.75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</row>
    <row r="568" customFormat="false" ht="15.7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</row>
    <row r="569" customFormat="false" ht="15.75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</row>
    <row r="570" customFormat="false" ht="15.7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</row>
    <row r="571" customFormat="false" ht="15.7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</row>
    <row r="572" customFormat="false" ht="15.7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</row>
    <row r="573" customFormat="false" ht="15.7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</row>
    <row r="574" customFormat="false" ht="15.7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</row>
    <row r="575" customFormat="false" ht="15.7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</row>
    <row r="576" customFormat="false" ht="15.7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</row>
    <row r="577" customFormat="false" ht="15.7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</row>
    <row r="578" customFormat="false" ht="15.7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</row>
    <row r="579" customFormat="false" ht="15.7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</row>
    <row r="580" customFormat="false" ht="15.7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</row>
    <row r="581" customFormat="false" ht="15.7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</row>
    <row r="582" customFormat="false" ht="15.7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</row>
    <row r="583" customFormat="false" ht="15.75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</row>
    <row r="584" customFormat="false" ht="15.7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</row>
    <row r="585" customFormat="false" ht="15.75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</row>
    <row r="586" customFormat="false" ht="15.7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</row>
    <row r="587" customFormat="false" ht="15.75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</row>
    <row r="588" customFormat="false" ht="15.7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</row>
    <row r="589" customFormat="false" ht="15.75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</row>
    <row r="590" customFormat="false" ht="15.7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</row>
    <row r="591" customFormat="false" ht="15.7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</row>
    <row r="592" customFormat="false" ht="15.7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</row>
    <row r="593" customFormat="false" ht="15.75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</row>
    <row r="594" customFormat="false" ht="15.7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</row>
    <row r="595" customFormat="false" ht="15.75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</row>
    <row r="596" customFormat="false" ht="15.7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</row>
    <row r="597" customFormat="false" ht="15.75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</row>
    <row r="598" customFormat="false" ht="15.7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</row>
    <row r="599" customFormat="false" ht="15.75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</row>
    <row r="600" customFormat="false" ht="15.7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</row>
    <row r="601" customFormat="false" ht="15.75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</row>
    <row r="602" customFormat="false" ht="15.7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</row>
    <row r="603" customFormat="false" ht="15.75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</row>
    <row r="604" customFormat="false" ht="15.7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</row>
    <row r="605" customFormat="false" ht="15.75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</row>
    <row r="606" customFormat="false" ht="15.7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</row>
    <row r="607" customFormat="false" ht="15.75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</row>
    <row r="608" customFormat="false" ht="15.7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</row>
    <row r="609" customFormat="false" ht="15.75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</row>
    <row r="610" customFormat="false" ht="15.7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</row>
    <row r="611" customFormat="false" ht="15.75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</row>
    <row r="612" customFormat="false" ht="15.7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</row>
    <row r="613" customFormat="false" ht="15.75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</row>
    <row r="614" customFormat="false" ht="15.7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</row>
    <row r="615" customFormat="false" ht="15.75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</row>
    <row r="616" customFormat="false" ht="15.7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</row>
    <row r="617" customFormat="false" ht="15.75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</row>
    <row r="618" customFormat="false" ht="15.7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</row>
    <row r="619" customFormat="false" ht="15.7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</row>
    <row r="620" customFormat="false" ht="15.7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</row>
    <row r="621" customFormat="false" ht="15.7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</row>
    <row r="622" customFormat="false" ht="15.7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</row>
    <row r="623" customFormat="false" ht="15.7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</row>
    <row r="624" customFormat="false" ht="15.7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</row>
    <row r="625" customFormat="false" ht="15.7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</row>
    <row r="626" customFormat="false" ht="15.7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</row>
    <row r="627" customFormat="false" ht="15.7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</row>
    <row r="628" customFormat="false" ht="15.7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</row>
    <row r="629" customFormat="false" ht="15.7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</row>
    <row r="630" customFormat="false" ht="15.7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</row>
    <row r="631" customFormat="false" ht="15.7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</row>
    <row r="632" customFormat="false" ht="15.7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</row>
    <row r="633" customFormat="false" ht="15.75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</row>
    <row r="634" customFormat="false" ht="15.7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</row>
    <row r="635" customFormat="false" ht="15.75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</row>
    <row r="636" customFormat="false" ht="15.7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</row>
    <row r="637" customFormat="false" ht="15.75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</row>
    <row r="638" customFormat="false" ht="15.7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</row>
    <row r="639" customFormat="false" ht="15.75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</row>
    <row r="640" customFormat="false" ht="15.7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</row>
    <row r="641" customFormat="false" ht="15.75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</row>
    <row r="642" customFormat="false" ht="15.7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</row>
    <row r="643" customFormat="false" ht="15.75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</row>
    <row r="644" customFormat="false" ht="15.7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</row>
    <row r="645" customFormat="false" ht="15.75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</row>
    <row r="646" customFormat="false" ht="15.7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</row>
    <row r="647" customFormat="false" ht="15.75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</row>
    <row r="648" customFormat="false" ht="15.7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</row>
    <row r="649" customFormat="false" ht="15.7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</row>
    <row r="650" customFormat="false" ht="15.7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</row>
    <row r="651" customFormat="false" ht="15.7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</row>
    <row r="652" customFormat="false" ht="15.7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</row>
    <row r="653" customFormat="false" ht="15.7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</row>
    <row r="654" customFormat="false" ht="15.7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</row>
    <row r="655" customFormat="false" ht="15.7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</row>
    <row r="656" customFormat="false" ht="15.7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</row>
    <row r="657" customFormat="false" ht="15.75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</row>
    <row r="658" customFormat="false" ht="15.7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</row>
    <row r="659" customFormat="false" ht="15.75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</row>
    <row r="660" customFormat="false" ht="15.7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</row>
    <row r="661" customFormat="false" ht="15.7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</row>
    <row r="662" customFormat="false" ht="15.7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</row>
    <row r="663" customFormat="false" ht="15.75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</row>
    <row r="664" customFormat="false" ht="15.7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</row>
    <row r="665" customFormat="false" ht="15.75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</row>
    <row r="666" customFormat="false" ht="15.7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</row>
    <row r="667" customFormat="false" ht="15.75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</row>
    <row r="668" customFormat="false" ht="15.7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</row>
    <row r="669" customFormat="false" ht="15.75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</row>
    <row r="670" customFormat="false" ht="15.7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</row>
    <row r="671" customFormat="false" ht="15.75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</row>
    <row r="672" customFormat="false" ht="15.7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</row>
    <row r="673" customFormat="false" ht="15.75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</row>
    <row r="674" customFormat="false" ht="15.7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</row>
    <row r="675" customFormat="false" ht="15.75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</row>
    <row r="676" customFormat="false" ht="15.7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</row>
    <row r="677" customFormat="false" ht="15.75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</row>
    <row r="678" customFormat="false" ht="15.7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</row>
    <row r="679" customFormat="false" ht="15.75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</row>
    <row r="680" customFormat="false" ht="15.7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</row>
    <row r="681" customFormat="false" ht="15.7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</row>
    <row r="682" customFormat="false" ht="15.7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</row>
    <row r="683" customFormat="false" ht="15.7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</row>
    <row r="684" customFormat="false" ht="15.7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</row>
    <row r="685" customFormat="false" ht="15.7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</row>
    <row r="686" customFormat="false" ht="15.7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</row>
    <row r="687" customFormat="false" ht="15.75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</row>
    <row r="688" customFormat="false" ht="15.7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</row>
    <row r="689" customFormat="false" ht="15.75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</row>
    <row r="690" customFormat="false" ht="15.7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</row>
    <row r="691" customFormat="false" ht="15.75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</row>
    <row r="692" customFormat="false" ht="15.7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</row>
    <row r="693" customFormat="false" ht="15.75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</row>
    <row r="694" customFormat="false" ht="15.7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</row>
    <row r="695" customFormat="false" ht="15.75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</row>
    <row r="696" customFormat="false" ht="15.7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</row>
    <row r="697" customFormat="false" ht="15.75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</row>
    <row r="698" customFormat="false" ht="15.7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</row>
    <row r="699" customFormat="false" ht="15.7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</row>
    <row r="700" customFormat="false" ht="15.7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</row>
    <row r="701" customFormat="false" ht="15.7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</row>
    <row r="702" customFormat="false" ht="15.7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</row>
    <row r="703" customFormat="false" ht="15.7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</row>
    <row r="704" customFormat="false" ht="15.7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</row>
    <row r="705" customFormat="false" ht="15.7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</row>
    <row r="706" customFormat="false" ht="15.7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</row>
    <row r="707" customFormat="false" ht="15.7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</row>
    <row r="708" customFormat="false" ht="15.7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</row>
    <row r="709" customFormat="false" ht="15.7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</row>
    <row r="710" customFormat="false" ht="15.7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</row>
    <row r="711" customFormat="false" ht="15.75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</row>
    <row r="712" customFormat="false" ht="15.7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</row>
    <row r="713" customFormat="false" ht="15.7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</row>
    <row r="714" customFormat="false" ht="15.7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</row>
    <row r="715" customFormat="false" ht="15.75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</row>
    <row r="716" customFormat="false" ht="15.7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</row>
    <row r="717" customFormat="false" ht="15.75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</row>
    <row r="718" customFormat="false" ht="15.7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</row>
    <row r="719" customFormat="false" ht="15.75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</row>
    <row r="720" customFormat="false" ht="15.7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</row>
    <row r="721" customFormat="false" ht="15.75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</row>
    <row r="722" customFormat="false" ht="15.7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</row>
    <row r="723" customFormat="false" ht="15.75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</row>
    <row r="724" customFormat="false" ht="15.7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</row>
    <row r="725" customFormat="false" ht="15.7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</row>
    <row r="726" customFormat="false" ht="15.7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</row>
    <row r="727" customFormat="false" ht="15.7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</row>
    <row r="728" customFormat="false" ht="15.7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</row>
    <row r="729" customFormat="false" ht="15.7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</row>
    <row r="730" customFormat="false" ht="15.7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</row>
    <row r="731" customFormat="false" ht="15.7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</row>
    <row r="732" customFormat="false" ht="15.7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</row>
    <row r="733" customFormat="false" ht="15.75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</row>
    <row r="734" customFormat="false" ht="15.7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</row>
    <row r="735" customFormat="false" ht="15.75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</row>
    <row r="736" customFormat="false" ht="15.7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</row>
    <row r="737" customFormat="false" ht="15.75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</row>
    <row r="738" customFormat="false" ht="15.7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</row>
    <row r="739" customFormat="false" ht="15.7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</row>
    <row r="740" customFormat="false" ht="15.7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</row>
    <row r="741" customFormat="false" ht="15.75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</row>
    <row r="742" customFormat="false" ht="15.7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</row>
    <row r="743" customFormat="false" ht="15.75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</row>
    <row r="744" customFormat="false" ht="15.7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</row>
    <row r="745" customFormat="false" ht="15.75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</row>
    <row r="746" customFormat="false" ht="15.7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</row>
    <row r="747" customFormat="false" ht="15.75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</row>
    <row r="748" customFormat="false" ht="15.7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</row>
    <row r="749" customFormat="false" ht="15.75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</row>
    <row r="750" customFormat="false" ht="15.7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</row>
    <row r="751" customFormat="false" ht="15.75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</row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">
    <mergeCell ref="A1:P2"/>
    <mergeCell ref="A3:P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6"/>
    <col collapsed="false" customWidth="true" hidden="false" outlineLevel="0" max="3" min="3" style="1" width="24"/>
    <col collapsed="false" customWidth="true" hidden="false" outlineLevel="0" max="5" min="4" style="1" width="12"/>
    <col collapsed="false" customWidth="true" hidden="false" outlineLevel="0" max="6" min="6" style="1" width="10"/>
    <col collapsed="false" customWidth="true" hidden="false" outlineLevel="0" max="7" min="7" style="1" width="13"/>
    <col collapsed="false" customWidth="true" hidden="false" outlineLevel="0" max="9" min="8" style="1" width="10"/>
    <col collapsed="false" customWidth="true" hidden="false" outlineLevel="0" max="10" min="10" style="1" width="17"/>
    <col collapsed="false" customWidth="true" hidden="false" outlineLevel="0" max="11" min="11" style="1" width="16"/>
    <col collapsed="false" customWidth="true" hidden="false" outlineLevel="0" max="12" min="12" style="1" width="18"/>
    <col collapsed="false" customWidth="true" hidden="false" outlineLevel="0" max="26" min="13" style="1" width="8.63"/>
  </cols>
  <sheetData>
    <row r="1" customFormat="false" ht="15" hidden="false" customHeight="true" outlineLevel="0" collapsed="false">
      <c r="A1" s="2" t="s">
        <v>168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customFormat="false" ht="1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</row>
    <row r="3" customFormat="false" ht="15" hidden="false" customHeight="true" outlineLevel="0" collapsed="false">
      <c r="A3" s="4" t="s">
        <v>169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3"/>
    </row>
    <row r="4" customFormat="false" ht="15" hidden="false" customHeight="tru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customFormat="false" ht="23.25" hidden="false" customHeight="true" outlineLevel="0" collapsed="false">
      <c r="A5" s="21" t="s">
        <v>146</v>
      </c>
      <c r="B5" s="21" t="s">
        <v>170</v>
      </c>
      <c r="C5" s="21" t="s">
        <v>147</v>
      </c>
      <c r="D5" s="21" t="s">
        <v>150</v>
      </c>
      <c r="E5" s="21" t="s">
        <v>149</v>
      </c>
      <c r="F5" s="21" t="s">
        <v>171</v>
      </c>
      <c r="G5" s="21" t="s">
        <v>172</v>
      </c>
      <c r="H5" s="21" t="s">
        <v>173</v>
      </c>
      <c r="I5" s="21" t="s">
        <v>126</v>
      </c>
      <c r="J5" s="21" t="s">
        <v>174</v>
      </c>
      <c r="K5" s="21" t="s">
        <v>175</v>
      </c>
      <c r="L5" s="21" t="s">
        <v>176</v>
      </c>
      <c r="M5" s="3"/>
      <c r="N5" s="3"/>
      <c r="O5" s="3"/>
      <c r="P5" s="3"/>
    </row>
    <row r="6" customFormat="false" ht="15" hidden="false" customHeight="true" outlineLevel="0" collapsed="false">
      <c r="A6" s="8" t="n">
        <v>46143</v>
      </c>
      <c r="B6" s="7" t="s">
        <v>177</v>
      </c>
      <c r="C6" s="7" t="s">
        <v>164</v>
      </c>
      <c r="D6" s="7" t="s">
        <v>39</v>
      </c>
      <c r="E6" s="7" t="s">
        <v>165</v>
      </c>
      <c r="F6" s="7" t="n">
        <v>77</v>
      </c>
      <c r="G6" s="7" t="n">
        <v>485</v>
      </c>
      <c r="H6" s="10" t="n">
        <v>0.158762886597938</v>
      </c>
      <c r="I6" s="7" t="n">
        <v>2.55</v>
      </c>
      <c r="J6" s="7" t="s">
        <v>178</v>
      </c>
      <c r="K6" s="7" t="s">
        <v>179</v>
      </c>
      <c r="L6" s="7" t="s">
        <v>178</v>
      </c>
      <c r="M6" s="3"/>
      <c r="N6" s="3"/>
      <c r="O6" s="3"/>
      <c r="P6" s="3"/>
    </row>
    <row r="7" customFormat="false" ht="15" hidden="false" customHeight="true" outlineLevel="0" collapsed="false">
      <c r="A7" s="8" t="n">
        <v>46143</v>
      </c>
      <c r="B7" s="7" t="s">
        <v>180</v>
      </c>
      <c r="C7" s="7" t="s">
        <v>157</v>
      </c>
      <c r="D7" s="7" t="s">
        <v>39</v>
      </c>
      <c r="E7" s="7" t="s">
        <v>160</v>
      </c>
      <c r="F7" s="7" t="n">
        <v>23</v>
      </c>
      <c r="G7" s="7" t="n">
        <v>838</v>
      </c>
      <c r="H7" s="10" t="n">
        <v>0.0274463007159905</v>
      </c>
      <c r="I7" s="7" t="n">
        <v>7.69</v>
      </c>
      <c r="J7" s="7" t="s">
        <v>181</v>
      </c>
      <c r="K7" s="7" t="s">
        <v>182</v>
      </c>
      <c r="L7" s="7" t="s">
        <v>183</v>
      </c>
      <c r="M7" s="3"/>
      <c r="N7" s="3"/>
      <c r="O7" s="3"/>
      <c r="P7" s="3"/>
    </row>
    <row r="8" customFormat="false" ht="15" hidden="false" customHeight="true" outlineLevel="0" collapsed="false">
      <c r="A8" s="8" t="n">
        <v>46143</v>
      </c>
      <c r="B8" s="7" t="s">
        <v>184</v>
      </c>
      <c r="C8" s="7" t="s">
        <v>161</v>
      </c>
      <c r="D8" s="7" t="s">
        <v>39</v>
      </c>
      <c r="E8" s="7" t="s">
        <v>160</v>
      </c>
      <c r="F8" s="7" t="n">
        <v>23</v>
      </c>
      <c r="G8" s="7" t="n">
        <v>831</v>
      </c>
      <c r="H8" s="10" t="n">
        <v>0.0276774969915764</v>
      </c>
      <c r="I8" s="7" t="n">
        <v>7.67</v>
      </c>
      <c r="J8" s="7" t="s">
        <v>181</v>
      </c>
      <c r="K8" s="7" t="s">
        <v>182</v>
      </c>
      <c r="L8" s="7" t="s">
        <v>185</v>
      </c>
      <c r="M8" s="3"/>
      <c r="N8" s="3"/>
      <c r="O8" s="3"/>
      <c r="P8" s="3"/>
    </row>
    <row r="9" customFormat="false" ht="15" hidden="false" customHeight="true" outlineLevel="0" collapsed="false">
      <c r="A9" s="8" t="n">
        <v>46143</v>
      </c>
      <c r="B9" s="7" t="s">
        <v>186</v>
      </c>
      <c r="C9" s="7" t="s">
        <v>162</v>
      </c>
      <c r="D9" s="7" t="s">
        <v>39</v>
      </c>
      <c r="E9" s="7" t="s">
        <v>160</v>
      </c>
      <c r="F9" s="7" t="n">
        <v>7</v>
      </c>
      <c r="G9" s="7" t="n">
        <v>576</v>
      </c>
      <c r="H9" s="10" t="n">
        <v>0.0121527777777778</v>
      </c>
      <c r="I9" s="7" t="n">
        <v>11.9</v>
      </c>
      <c r="J9" s="7" t="s">
        <v>181</v>
      </c>
      <c r="K9" s="7" t="s">
        <v>187</v>
      </c>
      <c r="L9" s="7" t="s">
        <v>188</v>
      </c>
      <c r="M9" s="3"/>
      <c r="N9" s="3"/>
      <c r="O9" s="3"/>
      <c r="P9" s="3"/>
    </row>
    <row r="10" customFormat="false" ht="15" hidden="false" customHeight="true" outlineLevel="0" collapsed="false">
      <c r="A10" s="8" t="n">
        <v>46143</v>
      </c>
      <c r="B10" s="7" t="s">
        <v>189</v>
      </c>
      <c r="C10" s="7" t="s">
        <v>163</v>
      </c>
      <c r="D10" s="7" t="s">
        <v>39</v>
      </c>
      <c r="E10" s="7" t="s">
        <v>160</v>
      </c>
      <c r="F10" s="7" t="n">
        <v>8</v>
      </c>
      <c r="G10" s="7" t="n">
        <v>640</v>
      </c>
      <c r="H10" s="10" t="n">
        <v>0.0125</v>
      </c>
      <c r="I10" s="7" t="n">
        <v>13.03</v>
      </c>
      <c r="J10" s="7" t="s">
        <v>181</v>
      </c>
      <c r="K10" s="7" t="s">
        <v>187</v>
      </c>
      <c r="L10" s="7" t="s">
        <v>190</v>
      </c>
      <c r="M10" s="3"/>
      <c r="N10" s="3"/>
      <c r="O10" s="3"/>
      <c r="P10" s="3"/>
    </row>
    <row r="11" customFormat="false" ht="15" hidden="false" customHeight="true" outlineLevel="0" collapsed="false">
      <c r="A11" s="8" t="n">
        <v>46143</v>
      </c>
      <c r="B11" s="7" t="s">
        <v>191</v>
      </c>
      <c r="C11" s="7" t="s">
        <v>166</v>
      </c>
      <c r="D11" s="7" t="s">
        <v>39</v>
      </c>
      <c r="E11" s="7" t="s">
        <v>165</v>
      </c>
      <c r="F11" s="7" t="n">
        <v>28</v>
      </c>
      <c r="G11" s="7" t="n">
        <v>525</v>
      </c>
      <c r="H11" s="10" t="n">
        <v>0.0533333333333333</v>
      </c>
      <c r="I11" s="7" t="n">
        <v>3.4</v>
      </c>
      <c r="J11" s="7" t="s">
        <v>178</v>
      </c>
      <c r="K11" s="7" t="s">
        <v>192</v>
      </c>
      <c r="L11" s="7" t="s">
        <v>178</v>
      </c>
      <c r="M11" s="3"/>
      <c r="N11" s="3"/>
      <c r="O11" s="3"/>
      <c r="P11" s="3"/>
    </row>
    <row r="12" customFormat="false" ht="15" hidden="false" customHeight="true" outlineLevel="0" collapsed="false">
      <c r="A12" s="8" t="n">
        <v>46144</v>
      </c>
      <c r="B12" s="7" t="s">
        <v>177</v>
      </c>
      <c r="C12" s="7" t="s">
        <v>164</v>
      </c>
      <c r="D12" s="7" t="s">
        <v>39</v>
      </c>
      <c r="E12" s="7" t="s">
        <v>160</v>
      </c>
      <c r="F12" s="7" t="n">
        <v>29</v>
      </c>
      <c r="G12" s="7" t="n">
        <v>538</v>
      </c>
      <c r="H12" s="10" t="n">
        <v>0.0539033457249071</v>
      </c>
      <c r="I12" s="7" t="n">
        <v>3.56</v>
      </c>
      <c r="J12" s="7" t="s">
        <v>178</v>
      </c>
      <c r="K12" s="7" t="s">
        <v>179</v>
      </c>
      <c r="L12" s="7" t="s">
        <v>178</v>
      </c>
      <c r="M12" s="3"/>
      <c r="N12" s="3"/>
      <c r="O12" s="3"/>
      <c r="P12" s="3"/>
    </row>
    <row r="13" customFormat="false" ht="15" hidden="false" customHeight="true" outlineLevel="0" collapsed="false">
      <c r="A13" s="8" t="n">
        <v>46144</v>
      </c>
      <c r="B13" s="7" t="s">
        <v>180</v>
      </c>
      <c r="C13" s="7" t="s">
        <v>157</v>
      </c>
      <c r="D13" s="7" t="s">
        <v>39</v>
      </c>
      <c r="E13" s="7" t="s">
        <v>160</v>
      </c>
      <c r="F13" s="7" t="n">
        <v>21</v>
      </c>
      <c r="G13" s="7" t="n">
        <v>760</v>
      </c>
      <c r="H13" s="10" t="n">
        <v>0.0276315789473684</v>
      </c>
      <c r="I13" s="7" t="n">
        <v>8.54</v>
      </c>
      <c r="J13" s="7" t="s">
        <v>181</v>
      </c>
      <c r="K13" s="7" t="s">
        <v>182</v>
      </c>
      <c r="L13" s="7" t="s">
        <v>183</v>
      </c>
      <c r="M13" s="3"/>
      <c r="N13" s="3"/>
      <c r="O13" s="3"/>
      <c r="P13" s="3"/>
    </row>
    <row r="14" customFormat="false" ht="15" hidden="false" customHeight="true" outlineLevel="0" collapsed="false">
      <c r="A14" s="8" t="n">
        <v>46144</v>
      </c>
      <c r="B14" s="7" t="s">
        <v>184</v>
      </c>
      <c r="C14" s="7" t="s">
        <v>161</v>
      </c>
      <c r="D14" s="7" t="s">
        <v>39</v>
      </c>
      <c r="E14" s="7" t="s">
        <v>160</v>
      </c>
      <c r="F14" s="7" t="n">
        <v>22</v>
      </c>
      <c r="G14" s="7" t="n">
        <v>807</v>
      </c>
      <c r="H14" s="10" t="n">
        <v>0.0272614622057001</v>
      </c>
      <c r="I14" s="7" t="n">
        <v>7.45</v>
      </c>
      <c r="J14" s="7" t="s">
        <v>181</v>
      </c>
      <c r="K14" s="7" t="s">
        <v>182</v>
      </c>
      <c r="L14" s="7" t="s">
        <v>185</v>
      </c>
      <c r="M14" s="3"/>
      <c r="N14" s="3"/>
      <c r="O14" s="3"/>
      <c r="P14" s="3"/>
    </row>
    <row r="15" customFormat="false" ht="15" hidden="false" customHeight="true" outlineLevel="0" collapsed="false">
      <c r="A15" s="8" t="n">
        <v>46144</v>
      </c>
      <c r="B15" s="7" t="s">
        <v>186</v>
      </c>
      <c r="C15" s="7" t="s">
        <v>162</v>
      </c>
      <c r="D15" s="7" t="s">
        <v>39</v>
      </c>
      <c r="E15" s="7" t="s">
        <v>160</v>
      </c>
      <c r="F15" s="7" t="n">
        <v>7</v>
      </c>
      <c r="G15" s="7" t="n">
        <v>571</v>
      </c>
      <c r="H15" s="10" t="n">
        <v>0.0122591943957969</v>
      </c>
      <c r="I15" s="7" t="n">
        <v>12.97</v>
      </c>
      <c r="J15" s="7" t="s">
        <v>181</v>
      </c>
      <c r="K15" s="7" t="s">
        <v>187</v>
      </c>
      <c r="L15" s="7" t="s">
        <v>188</v>
      </c>
      <c r="M15" s="3"/>
      <c r="N15" s="3"/>
      <c r="O15" s="3"/>
      <c r="P15" s="3"/>
    </row>
    <row r="16" customFormat="false" ht="15" hidden="false" customHeight="true" outlineLevel="0" collapsed="false">
      <c r="A16" s="8" t="n">
        <v>46144</v>
      </c>
      <c r="B16" s="7" t="s">
        <v>189</v>
      </c>
      <c r="C16" s="7" t="s">
        <v>163</v>
      </c>
      <c r="D16" s="7" t="s">
        <v>39</v>
      </c>
      <c r="E16" s="7" t="s">
        <v>160</v>
      </c>
      <c r="F16" s="7" t="n">
        <v>7</v>
      </c>
      <c r="G16" s="7" t="n">
        <v>561</v>
      </c>
      <c r="H16" s="10" t="n">
        <v>0.0124777183600713</v>
      </c>
      <c r="I16" s="7" t="n">
        <v>12.66</v>
      </c>
      <c r="J16" s="7" t="s">
        <v>181</v>
      </c>
      <c r="K16" s="7" t="s">
        <v>187</v>
      </c>
      <c r="L16" s="7" t="s">
        <v>190</v>
      </c>
      <c r="M16" s="3"/>
      <c r="N16" s="3"/>
      <c r="O16" s="3"/>
      <c r="P16" s="3"/>
    </row>
    <row r="17" customFormat="false" ht="15" hidden="false" customHeight="true" outlineLevel="0" collapsed="false">
      <c r="A17" s="8" t="n">
        <v>46144</v>
      </c>
      <c r="B17" s="7" t="s">
        <v>191</v>
      </c>
      <c r="C17" s="7" t="s">
        <v>166</v>
      </c>
      <c r="D17" s="7" t="s">
        <v>39</v>
      </c>
      <c r="E17" s="7" t="s">
        <v>160</v>
      </c>
      <c r="F17" s="7" t="n">
        <v>88</v>
      </c>
      <c r="G17" s="7" t="n">
        <v>555</v>
      </c>
      <c r="H17" s="10" t="n">
        <v>0.158558558558559</v>
      </c>
      <c r="I17" s="7" t="n">
        <v>2.85</v>
      </c>
      <c r="J17" s="7" t="s">
        <v>178</v>
      </c>
      <c r="K17" s="7" t="s">
        <v>192</v>
      </c>
      <c r="L17" s="7" t="s">
        <v>178</v>
      </c>
      <c r="M17" s="3"/>
      <c r="N17" s="3"/>
      <c r="O17" s="3"/>
      <c r="P17" s="3"/>
    </row>
    <row r="18" customFormat="false" ht="15" hidden="false" customHeight="true" outlineLevel="0" collapsed="false">
      <c r="A18" s="8" t="n">
        <v>46145</v>
      </c>
      <c r="B18" s="7" t="s">
        <v>177</v>
      </c>
      <c r="C18" s="7" t="s">
        <v>164</v>
      </c>
      <c r="D18" s="7" t="s">
        <v>39</v>
      </c>
      <c r="E18" s="7" t="s">
        <v>160</v>
      </c>
      <c r="F18" s="7" t="n">
        <v>23</v>
      </c>
      <c r="G18" s="7" t="n">
        <v>420</v>
      </c>
      <c r="H18" s="10" t="n">
        <v>0.0547619047619048</v>
      </c>
      <c r="I18" s="7" t="n">
        <v>3.58</v>
      </c>
      <c r="J18" s="7" t="s">
        <v>178</v>
      </c>
      <c r="K18" s="7" t="s">
        <v>179</v>
      </c>
      <c r="L18" s="7" t="s">
        <v>178</v>
      </c>
      <c r="M18" s="3"/>
      <c r="N18" s="3"/>
      <c r="O18" s="3"/>
      <c r="P18" s="3"/>
    </row>
    <row r="19" customFormat="false" ht="15" hidden="false" customHeight="true" outlineLevel="0" collapsed="false">
      <c r="A19" s="8" t="n">
        <v>46145</v>
      </c>
      <c r="B19" s="7" t="s">
        <v>180</v>
      </c>
      <c r="C19" s="7" t="s">
        <v>157</v>
      </c>
      <c r="D19" s="7" t="s">
        <v>39</v>
      </c>
      <c r="E19" s="7" t="s">
        <v>160</v>
      </c>
      <c r="F19" s="7" t="n">
        <v>22</v>
      </c>
      <c r="G19" s="7" t="n">
        <v>802</v>
      </c>
      <c r="H19" s="10" t="n">
        <v>0.027431421446384</v>
      </c>
      <c r="I19" s="7" t="n">
        <v>8.63</v>
      </c>
      <c r="J19" s="7" t="s">
        <v>181</v>
      </c>
      <c r="K19" s="7" t="s">
        <v>182</v>
      </c>
      <c r="L19" s="7" t="s">
        <v>183</v>
      </c>
      <c r="M19" s="3"/>
      <c r="N19" s="3"/>
      <c r="O19" s="3"/>
      <c r="P19" s="3"/>
    </row>
    <row r="20" customFormat="false" ht="15" hidden="false" customHeight="true" outlineLevel="0" collapsed="false">
      <c r="A20" s="8" t="n">
        <v>46145</v>
      </c>
      <c r="B20" s="7" t="s">
        <v>184</v>
      </c>
      <c r="C20" s="7" t="s">
        <v>161</v>
      </c>
      <c r="D20" s="7" t="s">
        <v>39</v>
      </c>
      <c r="E20" s="7" t="s">
        <v>165</v>
      </c>
      <c r="F20" s="7" t="n">
        <v>21</v>
      </c>
      <c r="G20" s="7" t="n">
        <v>772</v>
      </c>
      <c r="H20" s="10" t="n">
        <v>0.0272020725388601</v>
      </c>
      <c r="I20" s="7" t="n">
        <v>8.18</v>
      </c>
      <c r="J20" s="7" t="s">
        <v>181</v>
      </c>
      <c r="K20" s="7" t="s">
        <v>182</v>
      </c>
      <c r="L20" s="7" t="s">
        <v>185</v>
      </c>
      <c r="M20" s="3"/>
      <c r="N20" s="3"/>
      <c r="O20" s="3"/>
      <c r="P20" s="3"/>
    </row>
    <row r="21" customFormat="false" ht="15.75" hidden="false" customHeight="true" outlineLevel="0" collapsed="false">
      <c r="A21" s="8" t="n">
        <v>46145</v>
      </c>
      <c r="B21" s="7" t="s">
        <v>186</v>
      </c>
      <c r="C21" s="7" t="s">
        <v>162</v>
      </c>
      <c r="D21" s="7" t="s">
        <v>39</v>
      </c>
      <c r="E21" s="7" t="s">
        <v>160</v>
      </c>
      <c r="F21" s="7" t="n">
        <v>7</v>
      </c>
      <c r="G21" s="7" t="n">
        <v>611</v>
      </c>
      <c r="H21" s="10" t="n">
        <v>0.0114566284779051</v>
      </c>
      <c r="I21" s="7" t="n">
        <v>11.82</v>
      </c>
      <c r="J21" s="7" t="s">
        <v>181</v>
      </c>
      <c r="K21" s="7" t="s">
        <v>187</v>
      </c>
      <c r="L21" s="7" t="s">
        <v>188</v>
      </c>
      <c r="M21" s="3"/>
      <c r="N21" s="3"/>
      <c r="O21" s="3"/>
      <c r="P21" s="3"/>
    </row>
    <row r="22" customFormat="false" ht="15.75" hidden="false" customHeight="true" outlineLevel="0" collapsed="false">
      <c r="A22" s="8" t="n">
        <v>46145</v>
      </c>
      <c r="B22" s="7" t="s">
        <v>189</v>
      </c>
      <c r="C22" s="7" t="s">
        <v>163</v>
      </c>
      <c r="D22" s="7" t="s">
        <v>39</v>
      </c>
      <c r="E22" s="7" t="s">
        <v>165</v>
      </c>
      <c r="F22" s="7" t="n">
        <v>7</v>
      </c>
      <c r="G22" s="7" t="n">
        <v>595</v>
      </c>
      <c r="H22" s="10" t="n">
        <v>0.0117647058823529</v>
      </c>
      <c r="I22" s="7" t="n">
        <v>12.98</v>
      </c>
      <c r="J22" s="7" t="s">
        <v>181</v>
      </c>
      <c r="K22" s="7" t="s">
        <v>187</v>
      </c>
      <c r="L22" s="7" t="s">
        <v>190</v>
      </c>
      <c r="M22" s="3"/>
      <c r="N22" s="3"/>
      <c r="O22" s="3"/>
      <c r="P22" s="3"/>
    </row>
    <row r="23" customFormat="false" ht="15.75" hidden="false" customHeight="true" outlineLevel="0" collapsed="false">
      <c r="A23" s="8" t="n">
        <v>46145</v>
      </c>
      <c r="B23" s="7" t="s">
        <v>191</v>
      </c>
      <c r="C23" s="7" t="s">
        <v>166</v>
      </c>
      <c r="D23" s="7" t="s">
        <v>39</v>
      </c>
      <c r="E23" s="7" t="s">
        <v>160</v>
      </c>
      <c r="F23" s="7" t="n">
        <v>88</v>
      </c>
      <c r="G23" s="7" t="n">
        <v>552</v>
      </c>
      <c r="H23" s="10" t="n">
        <v>0.159420289855073</v>
      </c>
      <c r="I23" s="7" t="n">
        <v>2.49</v>
      </c>
      <c r="J23" s="7" t="s">
        <v>178</v>
      </c>
      <c r="K23" s="7" t="s">
        <v>192</v>
      </c>
      <c r="L23" s="7" t="s">
        <v>178</v>
      </c>
      <c r="M23" s="3"/>
      <c r="N23" s="3"/>
      <c r="O23" s="3"/>
      <c r="P23" s="3"/>
    </row>
    <row r="24" customFormat="false" ht="15.75" hidden="false" customHeight="true" outlineLevel="0" collapsed="false">
      <c r="A24" s="8" t="n">
        <v>46146</v>
      </c>
      <c r="B24" s="7" t="s">
        <v>177</v>
      </c>
      <c r="C24" s="7" t="s">
        <v>164</v>
      </c>
      <c r="D24" s="7" t="s">
        <v>39</v>
      </c>
      <c r="E24" s="7" t="s">
        <v>160</v>
      </c>
      <c r="F24" s="7" t="n">
        <v>68</v>
      </c>
      <c r="G24" s="7" t="n">
        <v>430</v>
      </c>
      <c r="H24" s="10" t="n">
        <v>0.158139534883721</v>
      </c>
      <c r="I24" s="7" t="n">
        <v>2.44</v>
      </c>
      <c r="J24" s="7" t="s">
        <v>178</v>
      </c>
      <c r="K24" s="7" t="s">
        <v>179</v>
      </c>
      <c r="L24" s="7" t="s">
        <v>178</v>
      </c>
      <c r="M24" s="3"/>
      <c r="N24" s="3"/>
      <c r="O24" s="3"/>
      <c r="P24" s="3"/>
    </row>
    <row r="25" customFormat="false" ht="15.75" hidden="false" customHeight="true" outlineLevel="0" collapsed="false">
      <c r="A25" s="8" t="n">
        <v>46146</v>
      </c>
      <c r="B25" s="7" t="s">
        <v>180</v>
      </c>
      <c r="C25" s="7" t="s">
        <v>157</v>
      </c>
      <c r="D25" s="7" t="s">
        <v>39</v>
      </c>
      <c r="E25" s="7" t="s">
        <v>160</v>
      </c>
      <c r="F25" s="7" t="n">
        <v>20</v>
      </c>
      <c r="G25" s="7" t="n">
        <v>732</v>
      </c>
      <c r="H25" s="10" t="n">
        <v>0.0273224043715847</v>
      </c>
      <c r="I25" s="7" t="n">
        <v>7.58</v>
      </c>
      <c r="J25" s="7" t="s">
        <v>181</v>
      </c>
      <c r="K25" s="7" t="s">
        <v>182</v>
      </c>
      <c r="L25" s="7" t="s">
        <v>183</v>
      </c>
      <c r="M25" s="3"/>
      <c r="N25" s="3"/>
      <c r="O25" s="3"/>
      <c r="P25" s="3"/>
    </row>
    <row r="26" customFormat="false" ht="15.75" hidden="false" customHeight="true" outlineLevel="0" collapsed="false">
      <c r="A26" s="8" t="n">
        <v>46146</v>
      </c>
      <c r="B26" s="7" t="s">
        <v>184</v>
      </c>
      <c r="C26" s="7" t="s">
        <v>161</v>
      </c>
      <c r="D26" s="7" t="s">
        <v>39</v>
      </c>
      <c r="E26" s="7" t="s">
        <v>160</v>
      </c>
      <c r="F26" s="7" t="n">
        <v>22</v>
      </c>
      <c r="G26" s="7" t="n">
        <v>810</v>
      </c>
      <c r="H26" s="10" t="n">
        <v>0.0271604938271605</v>
      </c>
      <c r="I26" s="7" t="n">
        <v>8.25</v>
      </c>
      <c r="J26" s="7" t="s">
        <v>181</v>
      </c>
      <c r="K26" s="7" t="s">
        <v>182</v>
      </c>
      <c r="L26" s="7" t="s">
        <v>185</v>
      </c>
      <c r="M26" s="3"/>
      <c r="N26" s="3"/>
      <c r="O26" s="3"/>
      <c r="P26" s="3"/>
    </row>
    <row r="27" customFormat="false" ht="15.75" hidden="false" customHeight="true" outlineLevel="0" collapsed="false">
      <c r="A27" s="8" t="n">
        <v>46146</v>
      </c>
      <c r="B27" s="7" t="s">
        <v>186</v>
      </c>
      <c r="C27" s="7" t="s">
        <v>162</v>
      </c>
      <c r="D27" s="7" t="s">
        <v>39</v>
      </c>
      <c r="E27" s="7" t="s">
        <v>160</v>
      </c>
      <c r="F27" s="7" t="n">
        <v>7</v>
      </c>
      <c r="G27" s="7" t="n">
        <v>565</v>
      </c>
      <c r="H27" s="10" t="n">
        <v>0.0123893805309735</v>
      </c>
      <c r="I27" s="7" t="n">
        <v>11.81</v>
      </c>
      <c r="J27" s="7" t="s">
        <v>181</v>
      </c>
      <c r="K27" s="7" t="s">
        <v>187</v>
      </c>
      <c r="L27" s="7" t="s">
        <v>188</v>
      </c>
      <c r="M27" s="3"/>
      <c r="N27" s="3"/>
      <c r="O27" s="3"/>
      <c r="P27" s="3"/>
    </row>
    <row r="28" customFormat="false" ht="15.75" hidden="false" customHeight="true" outlineLevel="0" collapsed="false">
      <c r="A28" s="8" t="n">
        <v>46146</v>
      </c>
      <c r="B28" s="7" t="s">
        <v>189</v>
      </c>
      <c r="C28" s="7" t="s">
        <v>163</v>
      </c>
      <c r="D28" s="7" t="s">
        <v>39</v>
      </c>
      <c r="E28" s="7" t="s">
        <v>160</v>
      </c>
      <c r="F28" s="7" t="n">
        <v>7</v>
      </c>
      <c r="G28" s="7" t="n">
        <v>567</v>
      </c>
      <c r="H28" s="10" t="n">
        <v>0.0123456790123457</v>
      </c>
      <c r="I28" s="7" t="n">
        <v>12.83</v>
      </c>
      <c r="J28" s="7" t="s">
        <v>181</v>
      </c>
      <c r="K28" s="7" t="s">
        <v>187</v>
      </c>
      <c r="L28" s="7" t="s">
        <v>190</v>
      </c>
      <c r="M28" s="3"/>
      <c r="N28" s="3"/>
      <c r="O28" s="3"/>
      <c r="P28" s="3"/>
    </row>
    <row r="29" customFormat="false" ht="15.75" hidden="false" customHeight="true" outlineLevel="0" collapsed="false">
      <c r="A29" s="8" t="n">
        <v>46146</v>
      </c>
      <c r="B29" s="7" t="s">
        <v>191</v>
      </c>
      <c r="C29" s="7" t="s">
        <v>166</v>
      </c>
      <c r="D29" s="7" t="s">
        <v>39</v>
      </c>
      <c r="E29" s="7" t="s">
        <v>160</v>
      </c>
      <c r="F29" s="7" t="n">
        <v>26</v>
      </c>
      <c r="G29" s="7" t="n">
        <v>477</v>
      </c>
      <c r="H29" s="10" t="n">
        <v>0.0545073375262055</v>
      </c>
      <c r="I29" s="7" t="n">
        <v>3.28</v>
      </c>
      <c r="J29" s="7" t="s">
        <v>178</v>
      </c>
      <c r="K29" s="7" t="s">
        <v>192</v>
      </c>
      <c r="L29" s="7" t="s">
        <v>178</v>
      </c>
      <c r="M29" s="3"/>
      <c r="N29" s="3"/>
      <c r="O29" s="3"/>
      <c r="P29" s="3"/>
    </row>
    <row r="30" customFormat="false" ht="15.75" hidden="false" customHeight="true" outlineLevel="0" collapsed="false">
      <c r="A30" s="8" t="n">
        <v>46147</v>
      </c>
      <c r="B30" s="7" t="s">
        <v>177</v>
      </c>
      <c r="C30" s="7" t="s">
        <v>164</v>
      </c>
      <c r="D30" s="7" t="s">
        <v>39</v>
      </c>
      <c r="E30" s="7" t="s">
        <v>160</v>
      </c>
      <c r="F30" s="7" t="n">
        <v>22</v>
      </c>
      <c r="G30" s="7" t="n">
        <v>416</v>
      </c>
      <c r="H30" s="10" t="n">
        <v>0.0528846153846154</v>
      </c>
      <c r="I30" s="7" t="n">
        <v>3.08</v>
      </c>
      <c r="J30" s="7" t="s">
        <v>178</v>
      </c>
      <c r="K30" s="7" t="s">
        <v>179</v>
      </c>
      <c r="L30" s="7" t="s">
        <v>178</v>
      </c>
      <c r="M30" s="3"/>
      <c r="N30" s="3"/>
      <c r="O30" s="3"/>
      <c r="P30" s="3"/>
    </row>
    <row r="31" customFormat="false" ht="15.75" hidden="false" customHeight="true" outlineLevel="0" collapsed="false">
      <c r="A31" s="8" t="n">
        <v>46147</v>
      </c>
      <c r="B31" s="7" t="s">
        <v>180</v>
      </c>
      <c r="C31" s="7" t="s">
        <v>157</v>
      </c>
      <c r="D31" s="7" t="s">
        <v>39</v>
      </c>
      <c r="E31" s="7" t="s">
        <v>160</v>
      </c>
      <c r="F31" s="7" t="n">
        <v>24</v>
      </c>
      <c r="G31" s="7" t="n">
        <v>878</v>
      </c>
      <c r="H31" s="10" t="n">
        <v>0.0273348519362187</v>
      </c>
      <c r="I31" s="7" t="n">
        <v>7.97</v>
      </c>
      <c r="J31" s="7" t="s">
        <v>181</v>
      </c>
      <c r="K31" s="7" t="s">
        <v>182</v>
      </c>
      <c r="L31" s="7" t="s">
        <v>183</v>
      </c>
      <c r="M31" s="3"/>
      <c r="N31" s="3"/>
      <c r="O31" s="3"/>
      <c r="P31" s="3"/>
    </row>
    <row r="32" customFormat="false" ht="15.75" hidden="false" customHeight="true" outlineLevel="0" collapsed="false">
      <c r="A32" s="8" t="n">
        <v>46147</v>
      </c>
      <c r="B32" s="7" t="s">
        <v>184</v>
      </c>
      <c r="C32" s="7" t="s">
        <v>161</v>
      </c>
      <c r="D32" s="7" t="s">
        <v>39</v>
      </c>
      <c r="E32" s="7" t="s">
        <v>160</v>
      </c>
      <c r="F32" s="7" t="n">
        <v>23</v>
      </c>
      <c r="G32" s="7" t="n">
        <v>851</v>
      </c>
      <c r="H32" s="10" t="n">
        <v>0.027027027027027</v>
      </c>
      <c r="I32" s="7" t="n">
        <v>7.57</v>
      </c>
      <c r="J32" s="7" t="s">
        <v>181</v>
      </c>
      <c r="K32" s="7" t="s">
        <v>182</v>
      </c>
      <c r="L32" s="7" t="s">
        <v>185</v>
      </c>
      <c r="M32" s="3"/>
      <c r="N32" s="3"/>
      <c r="O32" s="3"/>
      <c r="P32" s="3"/>
    </row>
    <row r="33" customFormat="false" ht="15.75" hidden="false" customHeight="true" outlineLevel="0" collapsed="false">
      <c r="A33" s="8" t="n">
        <v>46147</v>
      </c>
      <c r="B33" s="7" t="s">
        <v>186</v>
      </c>
      <c r="C33" s="7" t="s">
        <v>162</v>
      </c>
      <c r="D33" s="7" t="s">
        <v>39</v>
      </c>
      <c r="E33" s="7" t="s">
        <v>160</v>
      </c>
      <c r="F33" s="7" t="n">
        <v>8</v>
      </c>
      <c r="G33" s="7" t="n">
        <v>646</v>
      </c>
      <c r="H33" s="10" t="n">
        <v>0.0123839009287926</v>
      </c>
      <c r="I33" s="7" t="n">
        <v>12.79</v>
      </c>
      <c r="J33" s="7" t="s">
        <v>181</v>
      </c>
      <c r="K33" s="7" t="s">
        <v>187</v>
      </c>
      <c r="L33" s="7" t="s">
        <v>188</v>
      </c>
      <c r="M33" s="3"/>
      <c r="N33" s="3"/>
      <c r="O33" s="3"/>
      <c r="P33" s="3"/>
    </row>
    <row r="34" customFormat="false" ht="15.75" hidden="false" customHeight="true" outlineLevel="0" collapsed="false">
      <c r="A34" s="8" t="n">
        <v>46147</v>
      </c>
      <c r="B34" s="7" t="s">
        <v>189</v>
      </c>
      <c r="C34" s="7" t="s">
        <v>163</v>
      </c>
      <c r="D34" s="7" t="s">
        <v>39</v>
      </c>
      <c r="E34" s="7" t="s">
        <v>160</v>
      </c>
      <c r="F34" s="7" t="n">
        <v>8</v>
      </c>
      <c r="G34" s="7" t="n">
        <v>663</v>
      </c>
      <c r="H34" s="10" t="n">
        <v>0.0120663650075415</v>
      </c>
      <c r="I34" s="7" t="n">
        <v>11.96</v>
      </c>
      <c r="J34" s="7" t="s">
        <v>181</v>
      </c>
      <c r="K34" s="7" t="s">
        <v>187</v>
      </c>
      <c r="L34" s="7" t="s">
        <v>190</v>
      </c>
      <c r="M34" s="3"/>
      <c r="N34" s="3"/>
      <c r="O34" s="3"/>
      <c r="P34" s="3"/>
    </row>
    <row r="35" customFormat="false" ht="15.75" hidden="false" customHeight="true" outlineLevel="0" collapsed="false">
      <c r="A35" s="8" t="n">
        <v>46147</v>
      </c>
      <c r="B35" s="7" t="s">
        <v>191</v>
      </c>
      <c r="C35" s="7" t="s">
        <v>166</v>
      </c>
      <c r="D35" s="7" t="s">
        <v>39</v>
      </c>
      <c r="E35" s="7" t="s">
        <v>160</v>
      </c>
      <c r="F35" s="7" t="n">
        <v>25</v>
      </c>
      <c r="G35" s="7" t="n">
        <v>471</v>
      </c>
      <c r="H35" s="10" t="n">
        <v>0.0530785562632696</v>
      </c>
      <c r="I35" s="7" t="n">
        <v>3.53</v>
      </c>
      <c r="J35" s="7" t="s">
        <v>178</v>
      </c>
      <c r="K35" s="7" t="s">
        <v>192</v>
      </c>
      <c r="L35" s="7" t="s">
        <v>178</v>
      </c>
      <c r="M35" s="3"/>
      <c r="N35" s="3"/>
      <c r="O35" s="3"/>
      <c r="P35" s="3"/>
    </row>
    <row r="36" customFormat="false" ht="15.75" hidden="false" customHeight="true" outlineLevel="0" collapsed="false">
      <c r="A36" s="8" t="n">
        <v>46148</v>
      </c>
      <c r="B36" s="7" t="s">
        <v>177</v>
      </c>
      <c r="C36" s="7" t="s">
        <v>164</v>
      </c>
      <c r="D36" s="7" t="s">
        <v>39</v>
      </c>
      <c r="E36" s="7" t="s">
        <v>160</v>
      </c>
      <c r="F36" s="7" t="n">
        <v>82</v>
      </c>
      <c r="G36" s="7" t="n">
        <v>514</v>
      </c>
      <c r="H36" s="10" t="n">
        <v>0.159533073929961</v>
      </c>
      <c r="I36" s="7" t="n">
        <v>2.52</v>
      </c>
      <c r="J36" s="7" t="s">
        <v>178</v>
      </c>
      <c r="K36" s="7" t="s">
        <v>179</v>
      </c>
      <c r="L36" s="7" t="s">
        <v>178</v>
      </c>
      <c r="M36" s="3"/>
      <c r="N36" s="3"/>
      <c r="O36" s="3"/>
      <c r="P36" s="3"/>
    </row>
    <row r="37" customFormat="false" ht="15.75" hidden="false" customHeight="true" outlineLevel="0" collapsed="false">
      <c r="A37" s="8" t="n">
        <v>46148</v>
      </c>
      <c r="B37" s="7" t="s">
        <v>180</v>
      </c>
      <c r="C37" s="7" t="s">
        <v>157</v>
      </c>
      <c r="D37" s="7" t="s">
        <v>39</v>
      </c>
      <c r="E37" s="7" t="s">
        <v>160</v>
      </c>
      <c r="F37" s="7" t="n">
        <v>21</v>
      </c>
      <c r="G37" s="7" t="n">
        <v>772</v>
      </c>
      <c r="H37" s="10" t="n">
        <v>0.0272020725388601</v>
      </c>
      <c r="I37" s="7" t="n">
        <v>8.44</v>
      </c>
      <c r="J37" s="7" t="s">
        <v>181</v>
      </c>
      <c r="K37" s="7" t="s">
        <v>182</v>
      </c>
      <c r="L37" s="7" t="s">
        <v>183</v>
      </c>
      <c r="M37" s="3"/>
      <c r="N37" s="3"/>
      <c r="O37" s="3"/>
      <c r="P37" s="3"/>
    </row>
    <row r="38" customFormat="false" ht="15.75" hidden="false" customHeight="true" outlineLevel="0" collapsed="false">
      <c r="A38" s="8" t="n">
        <v>46148</v>
      </c>
      <c r="B38" s="7" t="s">
        <v>184</v>
      </c>
      <c r="C38" s="7" t="s">
        <v>161</v>
      </c>
      <c r="D38" s="7" t="s">
        <v>39</v>
      </c>
      <c r="E38" s="7" t="s">
        <v>160</v>
      </c>
      <c r="F38" s="7" t="n">
        <v>23</v>
      </c>
      <c r="G38" s="7" t="n">
        <v>836</v>
      </c>
      <c r="H38" s="10" t="n">
        <v>0.027511961722488</v>
      </c>
      <c r="I38" s="7" t="n">
        <v>8.3</v>
      </c>
      <c r="J38" s="7" t="s">
        <v>181</v>
      </c>
      <c r="K38" s="7" t="s">
        <v>182</v>
      </c>
      <c r="L38" s="7" t="s">
        <v>185</v>
      </c>
      <c r="M38" s="3"/>
      <c r="N38" s="3"/>
      <c r="O38" s="3"/>
      <c r="P38" s="3"/>
    </row>
    <row r="39" customFormat="false" ht="15.75" hidden="false" customHeight="true" outlineLevel="0" collapsed="false">
      <c r="A39" s="8" t="n">
        <v>46148</v>
      </c>
      <c r="B39" s="7" t="s">
        <v>186</v>
      </c>
      <c r="C39" s="7" t="s">
        <v>162</v>
      </c>
      <c r="D39" s="7" t="s">
        <v>39</v>
      </c>
      <c r="E39" s="7" t="s">
        <v>160</v>
      </c>
      <c r="F39" s="7" t="n">
        <v>7</v>
      </c>
      <c r="G39" s="7" t="n">
        <v>600</v>
      </c>
      <c r="H39" s="10" t="n">
        <v>0.0116666666666667</v>
      </c>
      <c r="I39" s="7" t="n">
        <v>12.19</v>
      </c>
      <c r="J39" s="7" t="s">
        <v>181</v>
      </c>
      <c r="K39" s="7" t="s">
        <v>187</v>
      </c>
      <c r="L39" s="7" t="s">
        <v>188</v>
      </c>
      <c r="M39" s="3"/>
      <c r="N39" s="3"/>
      <c r="O39" s="3"/>
      <c r="P39" s="3"/>
    </row>
    <row r="40" customFormat="false" ht="15.75" hidden="false" customHeight="true" outlineLevel="0" collapsed="false">
      <c r="A40" s="8" t="n">
        <v>46148</v>
      </c>
      <c r="B40" s="7" t="s">
        <v>189</v>
      </c>
      <c r="C40" s="7" t="s">
        <v>163</v>
      </c>
      <c r="D40" s="7" t="s">
        <v>39</v>
      </c>
      <c r="E40" s="7" t="s">
        <v>160</v>
      </c>
      <c r="F40" s="7" t="n">
        <v>7</v>
      </c>
      <c r="G40" s="7" t="n">
        <v>583</v>
      </c>
      <c r="H40" s="10" t="n">
        <v>0.0120068610634648</v>
      </c>
      <c r="I40" s="7" t="n">
        <v>12.21</v>
      </c>
      <c r="J40" s="7" t="s">
        <v>181</v>
      </c>
      <c r="K40" s="7" t="s">
        <v>187</v>
      </c>
      <c r="L40" s="7" t="s">
        <v>190</v>
      </c>
      <c r="M40" s="3"/>
      <c r="N40" s="3"/>
      <c r="O40" s="3"/>
      <c r="P40" s="3"/>
    </row>
    <row r="41" customFormat="false" ht="15.75" hidden="false" customHeight="true" outlineLevel="0" collapsed="false">
      <c r="A41" s="8" t="n">
        <v>46148</v>
      </c>
      <c r="B41" s="7" t="s">
        <v>191</v>
      </c>
      <c r="C41" s="7" t="s">
        <v>166</v>
      </c>
      <c r="D41" s="7" t="s">
        <v>39</v>
      </c>
      <c r="E41" s="7" t="s">
        <v>160</v>
      </c>
      <c r="F41" s="7" t="n">
        <v>88</v>
      </c>
      <c r="G41" s="7" t="n">
        <v>554</v>
      </c>
      <c r="H41" s="10" t="n">
        <v>0.15884476534296</v>
      </c>
      <c r="I41" s="7" t="n">
        <v>2.54</v>
      </c>
      <c r="J41" s="7" t="s">
        <v>178</v>
      </c>
      <c r="K41" s="7" t="s">
        <v>192</v>
      </c>
      <c r="L41" s="7" t="s">
        <v>178</v>
      </c>
      <c r="M41" s="3"/>
      <c r="N41" s="3"/>
      <c r="O41" s="3"/>
      <c r="P41" s="3"/>
    </row>
    <row r="42" customFormat="false" ht="15.75" hidden="false" customHeight="true" outlineLevel="0" collapsed="false">
      <c r="A42" s="8" t="n">
        <v>46149</v>
      </c>
      <c r="B42" s="7" t="s">
        <v>177</v>
      </c>
      <c r="C42" s="7" t="s">
        <v>164</v>
      </c>
      <c r="D42" s="7" t="s">
        <v>39</v>
      </c>
      <c r="E42" s="7" t="s">
        <v>165</v>
      </c>
      <c r="F42" s="7" t="n">
        <v>23</v>
      </c>
      <c r="G42" s="7" t="n">
        <v>431</v>
      </c>
      <c r="H42" s="10" t="n">
        <v>0.0533642691415313</v>
      </c>
      <c r="I42" s="7" t="n">
        <v>3.03</v>
      </c>
      <c r="J42" s="7" t="s">
        <v>178</v>
      </c>
      <c r="K42" s="7" t="s">
        <v>179</v>
      </c>
      <c r="L42" s="7" t="s">
        <v>178</v>
      </c>
      <c r="M42" s="3"/>
      <c r="N42" s="3"/>
      <c r="O42" s="3"/>
      <c r="P42" s="3"/>
    </row>
    <row r="43" customFormat="false" ht="15.75" hidden="false" customHeight="true" outlineLevel="0" collapsed="false">
      <c r="A43" s="8" t="n">
        <v>46149</v>
      </c>
      <c r="B43" s="7" t="s">
        <v>180</v>
      </c>
      <c r="C43" s="7" t="s">
        <v>157</v>
      </c>
      <c r="D43" s="7" t="s">
        <v>39</v>
      </c>
      <c r="E43" s="7" t="s">
        <v>160</v>
      </c>
      <c r="F43" s="7" t="n">
        <v>22</v>
      </c>
      <c r="G43" s="7" t="n">
        <v>821</v>
      </c>
      <c r="H43" s="10" t="n">
        <v>0.0267965895249696</v>
      </c>
      <c r="I43" s="7" t="n">
        <v>7.99</v>
      </c>
      <c r="J43" s="7" t="s">
        <v>181</v>
      </c>
      <c r="K43" s="7" t="s">
        <v>182</v>
      </c>
      <c r="L43" s="7" t="s">
        <v>183</v>
      </c>
      <c r="M43" s="3"/>
      <c r="N43" s="3"/>
      <c r="O43" s="3"/>
      <c r="P43" s="3"/>
    </row>
    <row r="44" customFormat="false" ht="15.75" hidden="false" customHeight="true" outlineLevel="0" collapsed="false">
      <c r="A44" s="8" t="n">
        <v>46149</v>
      </c>
      <c r="B44" s="7" t="s">
        <v>184</v>
      </c>
      <c r="C44" s="7" t="s">
        <v>161</v>
      </c>
      <c r="D44" s="7" t="s">
        <v>39</v>
      </c>
      <c r="E44" s="7" t="s">
        <v>160</v>
      </c>
      <c r="F44" s="7" t="n">
        <v>24</v>
      </c>
      <c r="G44" s="7" t="n">
        <v>873</v>
      </c>
      <c r="H44" s="10" t="n">
        <v>0.0274914089347079</v>
      </c>
      <c r="I44" s="7" t="n">
        <v>7.55</v>
      </c>
      <c r="J44" s="7" t="s">
        <v>181</v>
      </c>
      <c r="K44" s="7" t="s">
        <v>182</v>
      </c>
      <c r="L44" s="7" t="s">
        <v>185</v>
      </c>
      <c r="M44" s="3"/>
      <c r="N44" s="3"/>
      <c r="O44" s="3"/>
      <c r="P44" s="3"/>
    </row>
    <row r="45" customFormat="false" ht="15.75" hidden="false" customHeight="true" outlineLevel="0" collapsed="false">
      <c r="A45" s="8" t="n">
        <v>46149</v>
      </c>
      <c r="B45" s="7" t="s">
        <v>186</v>
      </c>
      <c r="C45" s="7" t="s">
        <v>162</v>
      </c>
      <c r="D45" s="7" t="s">
        <v>39</v>
      </c>
      <c r="E45" s="7" t="s">
        <v>160</v>
      </c>
      <c r="F45" s="7" t="n">
        <v>8</v>
      </c>
      <c r="G45" s="7" t="n">
        <v>631</v>
      </c>
      <c r="H45" s="10" t="n">
        <v>0.0126782884310618</v>
      </c>
      <c r="I45" s="7" t="n">
        <v>13.06</v>
      </c>
      <c r="J45" s="7" t="s">
        <v>181</v>
      </c>
      <c r="K45" s="7" t="s">
        <v>187</v>
      </c>
      <c r="L45" s="7" t="s">
        <v>188</v>
      </c>
      <c r="M45" s="3"/>
      <c r="N45" s="3"/>
      <c r="O45" s="3"/>
      <c r="P45" s="3"/>
    </row>
    <row r="46" customFormat="false" ht="15.75" hidden="false" customHeight="true" outlineLevel="0" collapsed="false">
      <c r="A46" s="8" t="n">
        <v>46149</v>
      </c>
      <c r="B46" s="7" t="s">
        <v>189</v>
      </c>
      <c r="C46" s="7" t="s">
        <v>163</v>
      </c>
      <c r="D46" s="7" t="s">
        <v>39</v>
      </c>
      <c r="E46" s="7" t="s">
        <v>160</v>
      </c>
      <c r="F46" s="7" t="n">
        <v>7</v>
      </c>
      <c r="G46" s="7" t="n">
        <v>608</v>
      </c>
      <c r="H46" s="10" t="n">
        <v>0.0115131578947368</v>
      </c>
      <c r="I46" s="7" t="n">
        <v>11.82</v>
      </c>
      <c r="J46" s="7" t="s">
        <v>181</v>
      </c>
      <c r="K46" s="7" t="s">
        <v>187</v>
      </c>
      <c r="L46" s="7" t="s">
        <v>190</v>
      </c>
      <c r="M46" s="3"/>
      <c r="N46" s="3"/>
      <c r="O46" s="3"/>
      <c r="P46" s="3"/>
    </row>
    <row r="47" customFormat="false" ht="15.75" hidden="false" customHeight="true" outlineLevel="0" collapsed="false">
      <c r="A47" s="8" t="n">
        <v>46149</v>
      </c>
      <c r="B47" s="7" t="s">
        <v>191</v>
      </c>
      <c r="C47" s="7" t="s">
        <v>166</v>
      </c>
      <c r="D47" s="7" t="s">
        <v>39</v>
      </c>
      <c r="E47" s="7" t="s">
        <v>160</v>
      </c>
      <c r="F47" s="7" t="n">
        <v>30</v>
      </c>
      <c r="G47" s="7" t="n">
        <v>549</v>
      </c>
      <c r="H47" s="10" t="n">
        <v>0.0546448087431694</v>
      </c>
      <c r="I47" s="7" t="n">
        <v>3.14</v>
      </c>
      <c r="J47" s="7" t="s">
        <v>178</v>
      </c>
      <c r="K47" s="7" t="s">
        <v>192</v>
      </c>
      <c r="L47" s="7" t="s">
        <v>178</v>
      </c>
      <c r="M47" s="3"/>
      <c r="N47" s="3"/>
      <c r="O47" s="3"/>
      <c r="P47" s="3"/>
    </row>
    <row r="48" customFormat="false" ht="15.75" hidden="false" customHeight="true" outlineLevel="0" collapsed="false">
      <c r="A48" s="8" t="n">
        <v>46150</v>
      </c>
      <c r="B48" s="7" t="s">
        <v>177</v>
      </c>
      <c r="C48" s="7" t="s">
        <v>164</v>
      </c>
      <c r="D48" s="7" t="s">
        <v>39</v>
      </c>
      <c r="E48" s="7" t="s">
        <v>160</v>
      </c>
      <c r="F48" s="7" t="n">
        <v>22</v>
      </c>
      <c r="G48" s="7" t="n">
        <v>403</v>
      </c>
      <c r="H48" s="10" t="n">
        <v>0.054590570719603</v>
      </c>
      <c r="I48" s="7" t="n">
        <v>3.14</v>
      </c>
      <c r="J48" s="7" t="s">
        <v>178</v>
      </c>
      <c r="K48" s="7" t="s">
        <v>179</v>
      </c>
      <c r="L48" s="7" t="s">
        <v>178</v>
      </c>
      <c r="M48" s="3"/>
      <c r="N48" s="3"/>
      <c r="O48" s="3"/>
      <c r="P48" s="3"/>
    </row>
    <row r="49" customFormat="false" ht="15.75" hidden="false" customHeight="true" outlineLevel="0" collapsed="false">
      <c r="A49" s="8" t="n">
        <v>46150</v>
      </c>
      <c r="B49" s="7" t="s">
        <v>180</v>
      </c>
      <c r="C49" s="7" t="s">
        <v>157</v>
      </c>
      <c r="D49" s="7" t="s">
        <v>39</v>
      </c>
      <c r="E49" s="7" t="s">
        <v>160</v>
      </c>
      <c r="F49" s="7" t="n">
        <v>20</v>
      </c>
      <c r="G49" s="7" t="n">
        <v>740</v>
      </c>
      <c r="H49" s="10" t="n">
        <v>0.027027027027027</v>
      </c>
      <c r="I49" s="7" t="n">
        <v>7.91</v>
      </c>
      <c r="J49" s="7" t="s">
        <v>181</v>
      </c>
      <c r="K49" s="7" t="s">
        <v>182</v>
      </c>
      <c r="L49" s="7" t="s">
        <v>183</v>
      </c>
      <c r="M49" s="3"/>
      <c r="N49" s="3"/>
      <c r="O49" s="3"/>
      <c r="P49" s="3"/>
    </row>
    <row r="50" customFormat="false" ht="15.75" hidden="false" customHeight="true" outlineLevel="0" collapsed="false">
      <c r="A50" s="8" t="n">
        <v>46150</v>
      </c>
      <c r="B50" s="7" t="s">
        <v>184</v>
      </c>
      <c r="C50" s="7" t="s">
        <v>161</v>
      </c>
      <c r="D50" s="7" t="s">
        <v>39</v>
      </c>
      <c r="E50" s="7" t="s">
        <v>160</v>
      </c>
      <c r="F50" s="7" t="n">
        <v>22</v>
      </c>
      <c r="G50" s="7" t="n">
        <v>802</v>
      </c>
      <c r="H50" s="10" t="n">
        <v>0.027431421446384</v>
      </c>
      <c r="I50" s="7" t="n">
        <v>8.07</v>
      </c>
      <c r="J50" s="7" t="s">
        <v>181</v>
      </c>
      <c r="K50" s="7" t="s">
        <v>182</v>
      </c>
      <c r="L50" s="7" t="s">
        <v>185</v>
      </c>
      <c r="M50" s="3"/>
      <c r="N50" s="3"/>
      <c r="O50" s="3"/>
      <c r="P50" s="3"/>
    </row>
    <row r="51" customFormat="false" ht="15.75" hidden="false" customHeight="true" outlineLevel="0" collapsed="false">
      <c r="A51" s="8" t="n">
        <v>46150</v>
      </c>
      <c r="B51" s="7" t="s">
        <v>186</v>
      </c>
      <c r="C51" s="7" t="s">
        <v>162</v>
      </c>
      <c r="D51" s="7" t="s">
        <v>39</v>
      </c>
      <c r="E51" s="7" t="s">
        <v>165</v>
      </c>
      <c r="F51" s="7" t="n">
        <v>6</v>
      </c>
      <c r="G51" s="7" t="n">
        <v>530</v>
      </c>
      <c r="H51" s="10" t="n">
        <v>0.0113207547169811</v>
      </c>
      <c r="I51" s="7" t="n">
        <v>13.16</v>
      </c>
      <c r="J51" s="7" t="s">
        <v>181</v>
      </c>
      <c r="K51" s="7" t="s">
        <v>187</v>
      </c>
      <c r="L51" s="7" t="s">
        <v>188</v>
      </c>
      <c r="M51" s="3"/>
      <c r="N51" s="3"/>
      <c r="O51" s="3"/>
      <c r="P51" s="3"/>
    </row>
    <row r="52" customFormat="false" ht="15.75" hidden="false" customHeight="true" outlineLevel="0" collapsed="false">
      <c r="A52" s="8" t="n">
        <v>46150</v>
      </c>
      <c r="B52" s="7" t="s">
        <v>189</v>
      </c>
      <c r="C52" s="7" t="s">
        <v>163</v>
      </c>
      <c r="D52" s="7" t="s">
        <v>39</v>
      </c>
      <c r="E52" s="7" t="s">
        <v>160</v>
      </c>
      <c r="F52" s="7" t="n">
        <v>8</v>
      </c>
      <c r="G52" s="7" t="n">
        <v>616</v>
      </c>
      <c r="H52" s="10" t="n">
        <v>0.012987012987013</v>
      </c>
      <c r="I52" s="7" t="n">
        <v>12.41</v>
      </c>
      <c r="J52" s="7" t="s">
        <v>181</v>
      </c>
      <c r="K52" s="7" t="s">
        <v>187</v>
      </c>
      <c r="L52" s="7" t="s">
        <v>190</v>
      </c>
      <c r="M52" s="3"/>
      <c r="N52" s="3"/>
      <c r="O52" s="3"/>
      <c r="P52" s="3"/>
    </row>
    <row r="53" customFormat="false" ht="15.75" hidden="false" customHeight="true" outlineLevel="0" collapsed="false">
      <c r="A53" s="8" t="n">
        <v>46150</v>
      </c>
      <c r="B53" s="7" t="s">
        <v>191</v>
      </c>
      <c r="C53" s="7" t="s">
        <v>166</v>
      </c>
      <c r="D53" s="7" t="s">
        <v>39</v>
      </c>
      <c r="E53" s="7" t="s">
        <v>165</v>
      </c>
      <c r="F53" s="7" t="n">
        <v>29</v>
      </c>
      <c r="G53" s="7" t="n">
        <v>536</v>
      </c>
      <c r="H53" s="10" t="n">
        <v>0.0541044776119403</v>
      </c>
      <c r="I53" s="7" t="n">
        <v>3.18</v>
      </c>
      <c r="J53" s="7" t="s">
        <v>178</v>
      </c>
      <c r="K53" s="7" t="s">
        <v>192</v>
      </c>
      <c r="L53" s="7" t="s">
        <v>178</v>
      </c>
      <c r="M53" s="3"/>
      <c r="N53" s="3"/>
      <c r="O53" s="3"/>
      <c r="P53" s="3"/>
    </row>
    <row r="54" customFormat="false" ht="15.75" hidden="false" customHeight="true" outlineLevel="0" collapsed="false">
      <c r="A54" s="8" t="n">
        <v>46151</v>
      </c>
      <c r="B54" s="7" t="s">
        <v>177</v>
      </c>
      <c r="C54" s="7" t="s">
        <v>164</v>
      </c>
      <c r="D54" s="7" t="s">
        <v>39</v>
      </c>
      <c r="E54" s="7" t="s">
        <v>160</v>
      </c>
      <c r="F54" s="7" t="n">
        <v>22</v>
      </c>
      <c r="G54" s="7" t="n">
        <v>415</v>
      </c>
      <c r="H54" s="10" t="n">
        <v>0.0530120481927711</v>
      </c>
      <c r="I54" s="7" t="n">
        <v>3.6</v>
      </c>
      <c r="J54" s="7" t="s">
        <v>178</v>
      </c>
      <c r="K54" s="7" t="s">
        <v>179</v>
      </c>
      <c r="L54" s="7" t="s">
        <v>178</v>
      </c>
      <c r="M54" s="3"/>
      <c r="N54" s="3"/>
      <c r="O54" s="3"/>
      <c r="P54" s="3"/>
    </row>
    <row r="55" customFormat="false" ht="15.75" hidden="false" customHeight="true" outlineLevel="0" collapsed="false">
      <c r="A55" s="8" t="n">
        <v>46151</v>
      </c>
      <c r="B55" s="7" t="s">
        <v>180</v>
      </c>
      <c r="C55" s="7" t="s">
        <v>157</v>
      </c>
      <c r="D55" s="7" t="s">
        <v>39</v>
      </c>
      <c r="E55" s="7" t="s">
        <v>160</v>
      </c>
      <c r="F55" s="7" t="n">
        <v>21</v>
      </c>
      <c r="G55" s="7" t="n">
        <v>777</v>
      </c>
      <c r="H55" s="10" t="n">
        <v>0.027027027027027</v>
      </c>
      <c r="I55" s="7" t="n">
        <v>8.12</v>
      </c>
      <c r="J55" s="7" t="s">
        <v>181</v>
      </c>
      <c r="K55" s="7" t="s">
        <v>182</v>
      </c>
      <c r="L55" s="7" t="s">
        <v>183</v>
      </c>
      <c r="M55" s="3"/>
      <c r="N55" s="3"/>
      <c r="O55" s="3"/>
      <c r="P55" s="3"/>
    </row>
    <row r="56" customFormat="false" ht="15.75" hidden="false" customHeight="true" outlineLevel="0" collapsed="false">
      <c r="A56" s="8" t="n">
        <v>46151</v>
      </c>
      <c r="B56" s="7" t="s">
        <v>184</v>
      </c>
      <c r="C56" s="7" t="s">
        <v>161</v>
      </c>
      <c r="D56" s="7" t="s">
        <v>39</v>
      </c>
      <c r="E56" s="7" t="s">
        <v>160</v>
      </c>
      <c r="F56" s="7" t="n">
        <v>23</v>
      </c>
      <c r="G56" s="7" t="n">
        <v>849</v>
      </c>
      <c r="H56" s="10" t="n">
        <v>0.0270906949352179</v>
      </c>
      <c r="I56" s="7" t="n">
        <v>7.92</v>
      </c>
      <c r="J56" s="7" t="s">
        <v>181</v>
      </c>
      <c r="K56" s="7" t="s">
        <v>182</v>
      </c>
      <c r="L56" s="7" t="s">
        <v>185</v>
      </c>
      <c r="M56" s="3"/>
      <c r="N56" s="3"/>
      <c r="O56" s="3"/>
      <c r="P56" s="3"/>
    </row>
    <row r="57" customFormat="false" ht="15.75" hidden="false" customHeight="true" outlineLevel="0" collapsed="false">
      <c r="A57" s="8" t="n">
        <v>46151</v>
      </c>
      <c r="B57" s="7" t="s">
        <v>186</v>
      </c>
      <c r="C57" s="7" t="s">
        <v>162</v>
      </c>
      <c r="D57" s="7" t="s">
        <v>39</v>
      </c>
      <c r="E57" s="7" t="s">
        <v>165</v>
      </c>
      <c r="F57" s="7" t="n">
        <v>8</v>
      </c>
      <c r="G57" s="7" t="n">
        <v>616</v>
      </c>
      <c r="H57" s="10" t="n">
        <v>0.012987012987013</v>
      </c>
      <c r="I57" s="7" t="n">
        <v>11.93</v>
      </c>
      <c r="J57" s="7" t="s">
        <v>181</v>
      </c>
      <c r="K57" s="7" t="s">
        <v>187</v>
      </c>
      <c r="L57" s="7" t="s">
        <v>188</v>
      </c>
      <c r="M57" s="3"/>
      <c r="N57" s="3"/>
      <c r="O57" s="3"/>
      <c r="P57" s="3"/>
    </row>
    <row r="58" customFormat="false" ht="15.75" hidden="false" customHeight="true" outlineLevel="0" collapsed="false">
      <c r="A58" s="8" t="n">
        <v>46151</v>
      </c>
      <c r="B58" s="7" t="s">
        <v>189</v>
      </c>
      <c r="C58" s="7" t="s">
        <v>163</v>
      </c>
      <c r="D58" s="7" t="s">
        <v>39</v>
      </c>
      <c r="E58" s="7" t="s">
        <v>160</v>
      </c>
      <c r="F58" s="7" t="n">
        <v>6</v>
      </c>
      <c r="G58" s="7" t="n">
        <v>515</v>
      </c>
      <c r="H58" s="10" t="n">
        <v>0.0116504854368932</v>
      </c>
      <c r="I58" s="7" t="n">
        <v>12.03</v>
      </c>
      <c r="J58" s="7" t="s">
        <v>181</v>
      </c>
      <c r="K58" s="7" t="s">
        <v>187</v>
      </c>
      <c r="L58" s="7" t="s">
        <v>190</v>
      </c>
      <c r="M58" s="3"/>
      <c r="N58" s="3"/>
      <c r="O58" s="3"/>
      <c r="P58" s="3"/>
    </row>
    <row r="59" customFormat="false" ht="15.75" hidden="false" customHeight="true" outlineLevel="0" collapsed="false">
      <c r="A59" s="8" t="n">
        <v>46151</v>
      </c>
      <c r="B59" s="7" t="s">
        <v>191</v>
      </c>
      <c r="C59" s="7" t="s">
        <v>166</v>
      </c>
      <c r="D59" s="7" t="s">
        <v>39</v>
      </c>
      <c r="E59" s="7" t="s">
        <v>165</v>
      </c>
      <c r="F59" s="7" t="n">
        <v>30</v>
      </c>
      <c r="G59" s="7" t="n">
        <v>557</v>
      </c>
      <c r="H59" s="10" t="n">
        <v>0.0538599640933573</v>
      </c>
      <c r="I59" s="7" t="n">
        <v>3.3</v>
      </c>
      <c r="J59" s="7" t="s">
        <v>178</v>
      </c>
      <c r="K59" s="7" t="s">
        <v>192</v>
      </c>
      <c r="L59" s="7" t="s">
        <v>178</v>
      </c>
      <c r="M59" s="3"/>
      <c r="N59" s="3"/>
      <c r="O59" s="3"/>
      <c r="P59" s="3"/>
    </row>
    <row r="60" customFormat="false" ht="15.75" hidden="false" customHeight="true" outlineLevel="0" collapsed="false">
      <c r="A60" s="8" t="n">
        <v>46152</v>
      </c>
      <c r="B60" s="7" t="s">
        <v>177</v>
      </c>
      <c r="C60" s="7" t="s">
        <v>164</v>
      </c>
      <c r="D60" s="7" t="s">
        <v>39</v>
      </c>
      <c r="E60" s="7" t="s">
        <v>160</v>
      </c>
      <c r="F60" s="7" t="n">
        <v>28</v>
      </c>
      <c r="G60" s="7" t="n">
        <v>519</v>
      </c>
      <c r="H60" s="10" t="n">
        <v>0.0539499036608863</v>
      </c>
      <c r="I60" s="7" t="n">
        <v>3.29</v>
      </c>
      <c r="J60" s="7" t="s">
        <v>178</v>
      </c>
      <c r="K60" s="7" t="s">
        <v>179</v>
      </c>
      <c r="L60" s="7" t="s">
        <v>178</v>
      </c>
      <c r="M60" s="3"/>
      <c r="N60" s="3"/>
      <c r="O60" s="3"/>
      <c r="P60" s="3"/>
    </row>
    <row r="61" customFormat="false" ht="15.75" hidden="false" customHeight="true" outlineLevel="0" collapsed="false">
      <c r="A61" s="8" t="n">
        <v>46152</v>
      </c>
      <c r="B61" s="7" t="s">
        <v>180</v>
      </c>
      <c r="C61" s="7" t="s">
        <v>157</v>
      </c>
      <c r="D61" s="7" t="s">
        <v>39</v>
      </c>
      <c r="E61" s="7" t="s">
        <v>160</v>
      </c>
      <c r="F61" s="7" t="n">
        <v>23</v>
      </c>
      <c r="G61" s="7" t="n">
        <v>841</v>
      </c>
      <c r="H61" s="10" t="n">
        <v>0.0273483947681332</v>
      </c>
      <c r="I61" s="7" t="n">
        <v>7.62</v>
      </c>
      <c r="J61" s="7" t="s">
        <v>181</v>
      </c>
      <c r="K61" s="7" t="s">
        <v>182</v>
      </c>
      <c r="L61" s="7" t="s">
        <v>183</v>
      </c>
      <c r="M61" s="3"/>
      <c r="N61" s="3"/>
      <c r="O61" s="3"/>
      <c r="P61" s="3"/>
    </row>
    <row r="62" customFormat="false" ht="15.75" hidden="false" customHeight="true" outlineLevel="0" collapsed="false">
      <c r="A62" s="8" t="n">
        <v>46152</v>
      </c>
      <c r="B62" s="7" t="s">
        <v>184</v>
      </c>
      <c r="C62" s="7" t="s">
        <v>161</v>
      </c>
      <c r="D62" s="7" t="s">
        <v>39</v>
      </c>
      <c r="E62" s="7" t="s">
        <v>165</v>
      </c>
      <c r="F62" s="7" t="n">
        <v>22</v>
      </c>
      <c r="G62" s="7" t="n">
        <v>815</v>
      </c>
      <c r="H62" s="10" t="n">
        <v>0.0269938650306749</v>
      </c>
      <c r="I62" s="7" t="n">
        <v>8.72</v>
      </c>
      <c r="J62" s="7" t="s">
        <v>181</v>
      </c>
      <c r="K62" s="7" t="s">
        <v>182</v>
      </c>
      <c r="L62" s="7" t="s">
        <v>185</v>
      </c>
      <c r="M62" s="3"/>
      <c r="N62" s="3"/>
      <c r="O62" s="3"/>
      <c r="P62" s="3"/>
    </row>
    <row r="63" customFormat="false" ht="15.75" hidden="false" customHeight="true" outlineLevel="0" collapsed="false">
      <c r="A63" s="8" t="n">
        <v>46152</v>
      </c>
      <c r="B63" s="7" t="s">
        <v>186</v>
      </c>
      <c r="C63" s="7" t="s">
        <v>162</v>
      </c>
      <c r="D63" s="7" t="s">
        <v>39</v>
      </c>
      <c r="E63" s="7" t="s">
        <v>160</v>
      </c>
      <c r="F63" s="7" t="n">
        <v>6</v>
      </c>
      <c r="G63" s="7" t="n">
        <v>521</v>
      </c>
      <c r="H63" s="10" t="n">
        <v>0.0115163147792706</v>
      </c>
      <c r="I63" s="7" t="n">
        <v>11.95</v>
      </c>
      <c r="J63" s="7" t="s">
        <v>181</v>
      </c>
      <c r="K63" s="7" t="s">
        <v>187</v>
      </c>
      <c r="L63" s="7" t="s">
        <v>188</v>
      </c>
      <c r="M63" s="3"/>
      <c r="N63" s="3"/>
      <c r="O63" s="3"/>
      <c r="P63" s="3"/>
    </row>
    <row r="64" customFormat="false" ht="15.75" hidden="false" customHeight="true" outlineLevel="0" collapsed="false">
      <c r="A64" s="8" t="n">
        <v>46152</v>
      </c>
      <c r="B64" s="7" t="s">
        <v>189</v>
      </c>
      <c r="C64" s="7" t="s">
        <v>163</v>
      </c>
      <c r="D64" s="7" t="s">
        <v>39</v>
      </c>
      <c r="E64" s="7" t="s">
        <v>160</v>
      </c>
      <c r="F64" s="7" t="n">
        <v>8</v>
      </c>
      <c r="G64" s="7" t="n">
        <v>658</v>
      </c>
      <c r="H64" s="10" t="n">
        <v>0.0121580547112462</v>
      </c>
      <c r="I64" s="7" t="n">
        <v>12.55</v>
      </c>
      <c r="J64" s="7" t="s">
        <v>181</v>
      </c>
      <c r="K64" s="7" t="s">
        <v>187</v>
      </c>
      <c r="L64" s="7" t="s">
        <v>190</v>
      </c>
      <c r="M64" s="3"/>
      <c r="N64" s="3"/>
      <c r="O64" s="3"/>
      <c r="P64" s="3"/>
    </row>
    <row r="65" customFormat="false" ht="15.75" hidden="false" customHeight="true" outlineLevel="0" collapsed="false">
      <c r="A65" s="8" t="n">
        <v>46152</v>
      </c>
      <c r="B65" s="7" t="s">
        <v>191</v>
      </c>
      <c r="C65" s="7" t="s">
        <v>166</v>
      </c>
      <c r="D65" s="7" t="s">
        <v>39</v>
      </c>
      <c r="E65" s="7" t="s">
        <v>160</v>
      </c>
      <c r="F65" s="7" t="n">
        <v>67</v>
      </c>
      <c r="G65" s="7" t="n">
        <v>422</v>
      </c>
      <c r="H65" s="10" t="n">
        <v>0.158767772511848</v>
      </c>
      <c r="I65" s="7" t="n">
        <v>2.62</v>
      </c>
      <c r="J65" s="7" t="s">
        <v>178</v>
      </c>
      <c r="K65" s="7" t="s">
        <v>192</v>
      </c>
      <c r="L65" s="7" t="s">
        <v>178</v>
      </c>
      <c r="M65" s="3"/>
      <c r="N65" s="3"/>
      <c r="O65" s="3"/>
      <c r="P65" s="3"/>
    </row>
    <row r="66" customFormat="false" ht="15.75" hidden="false" customHeight="true" outlineLevel="0" collapsed="false">
      <c r="A66" s="8" t="n">
        <v>46153</v>
      </c>
      <c r="B66" s="7" t="s">
        <v>177</v>
      </c>
      <c r="C66" s="7" t="s">
        <v>164</v>
      </c>
      <c r="D66" s="7" t="s">
        <v>39</v>
      </c>
      <c r="E66" s="7" t="s">
        <v>160</v>
      </c>
      <c r="F66" s="7" t="n">
        <v>68</v>
      </c>
      <c r="G66" s="7" t="n">
        <v>429</v>
      </c>
      <c r="H66" s="10" t="n">
        <v>0.158508158508159</v>
      </c>
      <c r="I66" s="7" t="n">
        <v>2.29</v>
      </c>
      <c r="J66" s="7" t="s">
        <v>178</v>
      </c>
      <c r="K66" s="7" t="s">
        <v>179</v>
      </c>
      <c r="L66" s="7" t="s">
        <v>178</v>
      </c>
      <c r="M66" s="3"/>
      <c r="N66" s="3"/>
      <c r="O66" s="3"/>
      <c r="P66" s="3"/>
    </row>
    <row r="67" customFormat="false" ht="15.75" hidden="false" customHeight="true" outlineLevel="0" collapsed="false">
      <c r="A67" s="8" t="n">
        <v>46153</v>
      </c>
      <c r="B67" s="7" t="s">
        <v>180</v>
      </c>
      <c r="C67" s="7" t="s">
        <v>157</v>
      </c>
      <c r="D67" s="7" t="s">
        <v>39</v>
      </c>
      <c r="E67" s="7" t="s">
        <v>160</v>
      </c>
      <c r="F67" s="7" t="n">
        <v>20</v>
      </c>
      <c r="G67" s="7" t="n">
        <v>744</v>
      </c>
      <c r="H67" s="10" t="n">
        <v>0.0268817204301075</v>
      </c>
      <c r="I67" s="7" t="n">
        <v>8.11</v>
      </c>
      <c r="J67" s="7" t="s">
        <v>181</v>
      </c>
      <c r="K67" s="7" t="s">
        <v>182</v>
      </c>
      <c r="L67" s="7" t="s">
        <v>183</v>
      </c>
      <c r="M67" s="3"/>
      <c r="N67" s="3"/>
      <c r="O67" s="3"/>
      <c r="P67" s="3"/>
    </row>
    <row r="68" customFormat="false" ht="15.75" hidden="false" customHeight="true" outlineLevel="0" collapsed="false">
      <c r="A68" s="8" t="n">
        <v>46153</v>
      </c>
      <c r="B68" s="7" t="s">
        <v>184</v>
      </c>
      <c r="C68" s="7" t="s">
        <v>161</v>
      </c>
      <c r="D68" s="7" t="s">
        <v>39</v>
      </c>
      <c r="E68" s="7" t="s">
        <v>160</v>
      </c>
      <c r="F68" s="7" t="n">
        <v>22</v>
      </c>
      <c r="G68" s="7" t="n">
        <v>812</v>
      </c>
      <c r="H68" s="10" t="n">
        <v>0.0270935960591133</v>
      </c>
      <c r="I68" s="7" t="n">
        <v>8.49</v>
      </c>
      <c r="J68" s="7" t="s">
        <v>181</v>
      </c>
      <c r="K68" s="7" t="s">
        <v>182</v>
      </c>
      <c r="L68" s="7" t="s">
        <v>185</v>
      </c>
      <c r="M68" s="3"/>
      <c r="N68" s="3"/>
      <c r="O68" s="3"/>
      <c r="P68" s="3"/>
    </row>
    <row r="69" customFormat="false" ht="15.75" hidden="false" customHeight="true" outlineLevel="0" collapsed="false">
      <c r="A69" s="8" t="n">
        <v>46153</v>
      </c>
      <c r="B69" s="7" t="s">
        <v>186</v>
      </c>
      <c r="C69" s="7" t="s">
        <v>162</v>
      </c>
      <c r="D69" s="7" t="s">
        <v>39</v>
      </c>
      <c r="E69" s="7" t="s">
        <v>165</v>
      </c>
      <c r="F69" s="7" t="n">
        <v>8</v>
      </c>
      <c r="G69" s="7" t="n">
        <v>620</v>
      </c>
      <c r="H69" s="10" t="n">
        <v>0.0129032258064516</v>
      </c>
      <c r="I69" s="7" t="n">
        <v>12.45</v>
      </c>
      <c r="J69" s="7" t="s">
        <v>181</v>
      </c>
      <c r="K69" s="7" t="s">
        <v>187</v>
      </c>
      <c r="L69" s="7" t="s">
        <v>188</v>
      </c>
      <c r="M69" s="3"/>
      <c r="N69" s="3"/>
      <c r="O69" s="3"/>
      <c r="P69" s="3"/>
    </row>
    <row r="70" customFormat="false" ht="15.75" hidden="false" customHeight="true" outlineLevel="0" collapsed="false">
      <c r="A70" s="8" t="n">
        <v>46153</v>
      </c>
      <c r="B70" s="7" t="s">
        <v>189</v>
      </c>
      <c r="C70" s="7" t="s">
        <v>163</v>
      </c>
      <c r="D70" s="7" t="s">
        <v>39</v>
      </c>
      <c r="E70" s="7" t="s">
        <v>160</v>
      </c>
      <c r="F70" s="7" t="n">
        <v>8</v>
      </c>
      <c r="G70" s="7" t="n">
        <v>665</v>
      </c>
      <c r="H70" s="10" t="n">
        <v>0.0120300751879699</v>
      </c>
      <c r="I70" s="7" t="n">
        <v>12.43</v>
      </c>
      <c r="J70" s="7" t="s">
        <v>181</v>
      </c>
      <c r="K70" s="7" t="s">
        <v>187</v>
      </c>
      <c r="L70" s="7" t="s">
        <v>190</v>
      </c>
      <c r="M70" s="3"/>
      <c r="N70" s="3"/>
      <c r="O70" s="3"/>
      <c r="P70" s="3"/>
    </row>
    <row r="71" customFormat="false" ht="15.75" hidden="false" customHeight="true" outlineLevel="0" collapsed="false">
      <c r="A71" s="8" t="n">
        <v>46153</v>
      </c>
      <c r="B71" s="7" t="s">
        <v>191</v>
      </c>
      <c r="C71" s="7" t="s">
        <v>166</v>
      </c>
      <c r="D71" s="7" t="s">
        <v>39</v>
      </c>
      <c r="E71" s="7" t="s">
        <v>165</v>
      </c>
      <c r="F71" s="7" t="n">
        <v>82</v>
      </c>
      <c r="G71" s="7" t="n">
        <v>515</v>
      </c>
      <c r="H71" s="10" t="n">
        <v>0.159223300970874</v>
      </c>
      <c r="I71" s="7" t="n">
        <v>2.39</v>
      </c>
      <c r="J71" s="7" t="s">
        <v>178</v>
      </c>
      <c r="K71" s="7" t="s">
        <v>192</v>
      </c>
      <c r="L71" s="7" t="s">
        <v>178</v>
      </c>
      <c r="M71" s="3"/>
      <c r="N71" s="3"/>
      <c r="O71" s="3"/>
      <c r="P71" s="3"/>
    </row>
    <row r="72" customFormat="false" ht="15.75" hidden="false" customHeight="true" outlineLevel="0" collapsed="false">
      <c r="A72" s="8" t="n">
        <v>46154</v>
      </c>
      <c r="B72" s="7" t="s">
        <v>177</v>
      </c>
      <c r="C72" s="7" t="s">
        <v>164</v>
      </c>
      <c r="D72" s="7" t="s">
        <v>39</v>
      </c>
      <c r="E72" s="7" t="s">
        <v>165</v>
      </c>
      <c r="F72" s="7" t="n">
        <v>84</v>
      </c>
      <c r="G72" s="7" t="n">
        <v>526</v>
      </c>
      <c r="H72" s="10" t="n">
        <v>0.159695817490494</v>
      </c>
      <c r="I72" s="7" t="n">
        <v>2.42</v>
      </c>
      <c r="J72" s="7" t="s">
        <v>178</v>
      </c>
      <c r="K72" s="7" t="s">
        <v>179</v>
      </c>
      <c r="L72" s="7" t="s">
        <v>178</v>
      </c>
      <c r="M72" s="3"/>
      <c r="N72" s="3"/>
      <c r="O72" s="3"/>
      <c r="P72" s="3"/>
    </row>
    <row r="73" customFormat="false" ht="15.75" hidden="false" customHeight="true" outlineLevel="0" collapsed="false">
      <c r="A73" s="8" t="n">
        <v>46154</v>
      </c>
      <c r="B73" s="7" t="s">
        <v>180</v>
      </c>
      <c r="C73" s="7" t="s">
        <v>157</v>
      </c>
      <c r="D73" s="7" t="s">
        <v>39</v>
      </c>
      <c r="E73" s="7" t="s">
        <v>160</v>
      </c>
      <c r="F73" s="7" t="n">
        <v>23</v>
      </c>
      <c r="G73" s="7" t="n">
        <v>856</v>
      </c>
      <c r="H73" s="10" t="n">
        <v>0.0268691588785047</v>
      </c>
      <c r="I73" s="7" t="n">
        <v>7.64</v>
      </c>
      <c r="J73" s="7" t="s">
        <v>181</v>
      </c>
      <c r="K73" s="7" t="s">
        <v>182</v>
      </c>
      <c r="L73" s="7" t="s">
        <v>183</v>
      </c>
      <c r="M73" s="3"/>
      <c r="N73" s="3"/>
      <c r="O73" s="3"/>
      <c r="P73" s="3"/>
    </row>
    <row r="74" customFormat="false" ht="15.75" hidden="false" customHeight="true" outlineLevel="0" collapsed="false">
      <c r="A74" s="8" t="n">
        <v>46154</v>
      </c>
      <c r="B74" s="7" t="s">
        <v>184</v>
      </c>
      <c r="C74" s="7" t="s">
        <v>161</v>
      </c>
      <c r="D74" s="7" t="s">
        <v>39</v>
      </c>
      <c r="E74" s="7" t="s">
        <v>160</v>
      </c>
      <c r="F74" s="7" t="n">
        <v>21</v>
      </c>
      <c r="G74" s="7" t="n">
        <v>752</v>
      </c>
      <c r="H74" s="10" t="n">
        <v>0.0279255319148936</v>
      </c>
      <c r="I74" s="7" t="n">
        <v>7.98</v>
      </c>
      <c r="J74" s="7" t="s">
        <v>181</v>
      </c>
      <c r="K74" s="7" t="s">
        <v>182</v>
      </c>
      <c r="L74" s="7" t="s">
        <v>185</v>
      </c>
      <c r="M74" s="3"/>
      <c r="N74" s="3"/>
      <c r="O74" s="3"/>
      <c r="P74" s="3"/>
    </row>
    <row r="75" customFormat="false" ht="15.75" hidden="false" customHeight="true" outlineLevel="0" collapsed="false">
      <c r="A75" s="8" t="n">
        <v>46154</v>
      </c>
      <c r="B75" s="7" t="s">
        <v>186</v>
      </c>
      <c r="C75" s="7" t="s">
        <v>162</v>
      </c>
      <c r="D75" s="7" t="s">
        <v>39</v>
      </c>
      <c r="E75" s="7" t="s">
        <v>160</v>
      </c>
      <c r="F75" s="7" t="n">
        <v>7</v>
      </c>
      <c r="G75" s="7" t="n">
        <v>554</v>
      </c>
      <c r="H75" s="10" t="n">
        <v>0.0126353790613718</v>
      </c>
      <c r="I75" s="7" t="n">
        <v>12.92</v>
      </c>
      <c r="J75" s="7" t="s">
        <v>181</v>
      </c>
      <c r="K75" s="7" t="s">
        <v>187</v>
      </c>
      <c r="L75" s="7" t="s">
        <v>188</v>
      </c>
      <c r="M75" s="3"/>
      <c r="N75" s="3"/>
      <c r="O75" s="3"/>
      <c r="P75" s="3"/>
    </row>
    <row r="76" customFormat="false" ht="15.75" hidden="false" customHeight="true" outlineLevel="0" collapsed="false">
      <c r="A76" s="8" t="n">
        <v>46154</v>
      </c>
      <c r="B76" s="7" t="s">
        <v>189</v>
      </c>
      <c r="C76" s="7" t="s">
        <v>163</v>
      </c>
      <c r="D76" s="7" t="s">
        <v>39</v>
      </c>
      <c r="E76" s="7" t="s">
        <v>160</v>
      </c>
      <c r="F76" s="7" t="n">
        <v>7</v>
      </c>
      <c r="G76" s="7" t="n">
        <v>611</v>
      </c>
      <c r="H76" s="10" t="n">
        <v>0.0114566284779051</v>
      </c>
      <c r="I76" s="7" t="n">
        <v>12.02</v>
      </c>
      <c r="J76" s="7" t="s">
        <v>181</v>
      </c>
      <c r="K76" s="7" t="s">
        <v>187</v>
      </c>
      <c r="L76" s="7" t="s">
        <v>190</v>
      </c>
      <c r="M76" s="3"/>
      <c r="N76" s="3"/>
      <c r="O76" s="3"/>
      <c r="P76" s="3"/>
    </row>
    <row r="77" customFormat="false" ht="15.75" hidden="false" customHeight="true" outlineLevel="0" collapsed="false">
      <c r="A77" s="8" t="n">
        <v>46154</v>
      </c>
      <c r="B77" s="7" t="s">
        <v>191</v>
      </c>
      <c r="C77" s="7" t="s">
        <v>166</v>
      </c>
      <c r="D77" s="7" t="s">
        <v>39</v>
      </c>
      <c r="E77" s="7" t="s">
        <v>160</v>
      </c>
      <c r="F77" s="7" t="n">
        <v>64</v>
      </c>
      <c r="G77" s="7" t="n">
        <v>405</v>
      </c>
      <c r="H77" s="10" t="n">
        <v>0.158024691358025</v>
      </c>
      <c r="I77" s="7" t="n">
        <v>2.77</v>
      </c>
      <c r="J77" s="7" t="s">
        <v>178</v>
      </c>
      <c r="K77" s="7" t="s">
        <v>192</v>
      </c>
      <c r="L77" s="7" t="s">
        <v>178</v>
      </c>
      <c r="M77" s="3"/>
      <c r="N77" s="3"/>
      <c r="O77" s="3"/>
      <c r="P77" s="3"/>
    </row>
    <row r="78" customFormat="false" ht="15.75" hidden="false" customHeight="true" outlineLevel="0" collapsed="false">
      <c r="A78" s="8" t="n">
        <v>46155</v>
      </c>
      <c r="B78" s="7" t="s">
        <v>177</v>
      </c>
      <c r="C78" s="7" t="s">
        <v>164</v>
      </c>
      <c r="D78" s="7" t="s">
        <v>39</v>
      </c>
      <c r="E78" s="7" t="s">
        <v>165</v>
      </c>
      <c r="F78" s="7" t="n">
        <v>29</v>
      </c>
      <c r="G78" s="7" t="n">
        <v>537</v>
      </c>
      <c r="H78" s="10" t="n">
        <v>0.0540037243947859</v>
      </c>
      <c r="I78" s="7" t="n">
        <v>3.1</v>
      </c>
      <c r="J78" s="7" t="s">
        <v>178</v>
      </c>
      <c r="K78" s="7" t="s">
        <v>179</v>
      </c>
      <c r="L78" s="7" t="s">
        <v>178</v>
      </c>
      <c r="M78" s="3"/>
      <c r="N78" s="3"/>
      <c r="O78" s="3"/>
      <c r="P78" s="3"/>
    </row>
    <row r="79" customFormat="false" ht="15.75" hidden="false" customHeight="true" outlineLevel="0" collapsed="false">
      <c r="A79" s="8" t="n">
        <v>46155</v>
      </c>
      <c r="B79" s="7" t="s">
        <v>180</v>
      </c>
      <c r="C79" s="7" t="s">
        <v>157</v>
      </c>
      <c r="D79" s="7" t="s">
        <v>39</v>
      </c>
      <c r="E79" s="7" t="s">
        <v>160</v>
      </c>
      <c r="F79" s="7" t="n">
        <v>20</v>
      </c>
      <c r="G79" s="7" t="n">
        <v>733</v>
      </c>
      <c r="H79" s="10" t="n">
        <v>0.0272851296043656</v>
      </c>
      <c r="I79" s="7" t="n">
        <v>7.95</v>
      </c>
      <c r="J79" s="7" t="s">
        <v>181</v>
      </c>
      <c r="K79" s="7" t="s">
        <v>182</v>
      </c>
      <c r="L79" s="7" t="s">
        <v>183</v>
      </c>
      <c r="M79" s="3"/>
      <c r="N79" s="3"/>
      <c r="O79" s="3"/>
      <c r="P79" s="3"/>
    </row>
    <row r="80" customFormat="false" ht="15.75" hidden="false" customHeight="true" outlineLevel="0" collapsed="false">
      <c r="A80" s="8" t="n">
        <v>46155</v>
      </c>
      <c r="B80" s="7" t="s">
        <v>184</v>
      </c>
      <c r="C80" s="7" t="s">
        <v>161</v>
      </c>
      <c r="D80" s="7" t="s">
        <v>39</v>
      </c>
      <c r="E80" s="7" t="s">
        <v>160</v>
      </c>
      <c r="F80" s="7" t="n">
        <v>21</v>
      </c>
      <c r="G80" s="7" t="n">
        <v>776</v>
      </c>
      <c r="H80" s="10" t="n">
        <v>0.0270618556701031</v>
      </c>
      <c r="I80" s="7" t="n">
        <v>7.77</v>
      </c>
      <c r="J80" s="7" t="s">
        <v>181</v>
      </c>
      <c r="K80" s="7" t="s">
        <v>182</v>
      </c>
      <c r="L80" s="7" t="s">
        <v>185</v>
      </c>
      <c r="M80" s="3"/>
      <c r="N80" s="3"/>
      <c r="O80" s="3"/>
      <c r="P80" s="3"/>
    </row>
    <row r="81" customFormat="false" ht="15.75" hidden="false" customHeight="true" outlineLevel="0" collapsed="false">
      <c r="A81" s="8" t="n">
        <v>46155</v>
      </c>
      <c r="B81" s="7" t="s">
        <v>186</v>
      </c>
      <c r="C81" s="7" t="s">
        <v>162</v>
      </c>
      <c r="D81" s="7" t="s">
        <v>39</v>
      </c>
      <c r="E81" s="7" t="s">
        <v>160</v>
      </c>
      <c r="F81" s="7" t="n">
        <v>8</v>
      </c>
      <c r="G81" s="7" t="n">
        <v>622</v>
      </c>
      <c r="H81" s="10" t="n">
        <v>0.0128617363344051</v>
      </c>
      <c r="I81" s="7" t="n">
        <v>12.26</v>
      </c>
      <c r="J81" s="7" t="s">
        <v>181</v>
      </c>
      <c r="K81" s="7" t="s">
        <v>187</v>
      </c>
      <c r="L81" s="7" t="s">
        <v>188</v>
      </c>
      <c r="M81" s="3"/>
      <c r="N81" s="3"/>
      <c r="O81" s="3"/>
      <c r="P81" s="3"/>
    </row>
    <row r="82" customFormat="false" ht="15.75" hidden="false" customHeight="true" outlineLevel="0" collapsed="false">
      <c r="A82" s="8" t="n">
        <v>46155</v>
      </c>
      <c r="B82" s="7" t="s">
        <v>189</v>
      </c>
      <c r="C82" s="7" t="s">
        <v>163</v>
      </c>
      <c r="D82" s="7" t="s">
        <v>39</v>
      </c>
      <c r="E82" s="7" t="s">
        <v>160</v>
      </c>
      <c r="F82" s="7" t="n">
        <v>8</v>
      </c>
      <c r="G82" s="7" t="n">
        <v>658</v>
      </c>
      <c r="H82" s="10" t="n">
        <v>0.0121580547112462</v>
      </c>
      <c r="I82" s="7" t="n">
        <v>13.13</v>
      </c>
      <c r="J82" s="7" t="s">
        <v>181</v>
      </c>
      <c r="K82" s="7" t="s">
        <v>187</v>
      </c>
      <c r="L82" s="7" t="s">
        <v>190</v>
      </c>
      <c r="M82" s="3"/>
      <c r="N82" s="3"/>
      <c r="O82" s="3"/>
      <c r="P82" s="3"/>
    </row>
    <row r="83" customFormat="false" ht="15.75" hidden="false" customHeight="true" outlineLevel="0" collapsed="false">
      <c r="A83" s="8" t="n">
        <v>46155</v>
      </c>
      <c r="B83" s="7" t="s">
        <v>191</v>
      </c>
      <c r="C83" s="7" t="s">
        <v>166</v>
      </c>
      <c r="D83" s="7" t="s">
        <v>39</v>
      </c>
      <c r="E83" s="7" t="s">
        <v>160</v>
      </c>
      <c r="F83" s="7" t="n">
        <v>28</v>
      </c>
      <c r="G83" s="7" t="n">
        <v>526</v>
      </c>
      <c r="H83" s="10" t="n">
        <v>0.0532319391634981</v>
      </c>
      <c r="I83" s="7" t="n">
        <v>3.5</v>
      </c>
      <c r="J83" s="7" t="s">
        <v>178</v>
      </c>
      <c r="K83" s="7" t="s">
        <v>192</v>
      </c>
      <c r="L83" s="7" t="s">
        <v>178</v>
      </c>
      <c r="M83" s="3"/>
      <c r="N83" s="3"/>
      <c r="O83" s="3"/>
      <c r="P83" s="3"/>
    </row>
    <row r="84" customFormat="false" ht="15.75" hidden="false" customHeight="true" outlineLevel="0" collapsed="false">
      <c r="A84" s="8" t="n">
        <v>46156</v>
      </c>
      <c r="B84" s="7" t="s">
        <v>177</v>
      </c>
      <c r="C84" s="7" t="s">
        <v>164</v>
      </c>
      <c r="D84" s="7" t="s">
        <v>39</v>
      </c>
      <c r="E84" s="7" t="s">
        <v>160</v>
      </c>
      <c r="F84" s="7" t="n">
        <v>89</v>
      </c>
      <c r="G84" s="7" t="n">
        <v>558</v>
      </c>
      <c r="H84" s="10" t="n">
        <v>0.159498207885305</v>
      </c>
      <c r="I84" s="7" t="n">
        <v>2.62</v>
      </c>
      <c r="J84" s="7" t="s">
        <v>178</v>
      </c>
      <c r="K84" s="7" t="s">
        <v>179</v>
      </c>
      <c r="L84" s="7" t="s">
        <v>178</v>
      </c>
      <c r="M84" s="3"/>
      <c r="N84" s="3"/>
      <c r="O84" s="3"/>
      <c r="P84" s="3"/>
    </row>
    <row r="85" customFormat="false" ht="15.75" hidden="false" customHeight="true" outlineLevel="0" collapsed="false">
      <c r="A85" s="8" t="n">
        <v>46156</v>
      </c>
      <c r="B85" s="7" t="s">
        <v>180</v>
      </c>
      <c r="C85" s="7" t="s">
        <v>157</v>
      </c>
      <c r="D85" s="7" t="s">
        <v>39</v>
      </c>
      <c r="E85" s="7" t="s">
        <v>160</v>
      </c>
      <c r="F85" s="7" t="n">
        <v>22</v>
      </c>
      <c r="G85" s="7" t="n">
        <v>788</v>
      </c>
      <c r="H85" s="10" t="n">
        <v>0.0279187817258883</v>
      </c>
      <c r="I85" s="7" t="n">
        <v>7.71</v>
      </c>
      <c r="J85" s="7" t="s">
        <v>181</v>
      </c>
      <c r="K85" s="7" t="s">
        <v>182</v>
      </c>
      <c r="L85" s="7" t="s">
        <v>183</v>
      </c>
      <c r="M85" s="3"/>
      <c r="N85" s="3"/>
      <c r="O85" s="3"/>
      <c r="P85" s="3"/>
    </row>
    <row r="86" customFormat="false" ht="15.75" hidden="false" customHeight="true" outlineLevel="0" collapsed="false">
      <c r="A86" s="8" t="n">
        <v>46156</v>
      </c>
      <c r="B86" s="7" t="s">
        <v>184</v>
      </c>
      <c r="C86" s="7" t="s">
        <v>161</v>
      </c>
      <c r="D86" s="7" t="s">
        <v>39</v>
      </c>
      <c r="E86" s="7" t="s">
        <v>160</v>
      </c>
      <c r="F86" s="7" t="n">
        <v>23</v>
      </c>
      <c r="G86" s="7" t="n">
        <v>844</v>
      </c>
      <c r="H86" s="10" t="n">
        <v>0.0272511848341232</v>
      </c>
      <c r="I86" s="7" t="n">
        <v>7.94</v>
      </c>
      <c r="J86" s="7" t="s">
        <v>181</v>
      </c>
      <c r="K86" s="7" t="s">
        <v>182</v>
      </c>
      <c r="L86" s="7" t="s">
        <v>185</v>
      </c>
      <c r="M86" s="3"/>
      <c r="N86" s="3"/>
      <c r="O86" s="3"/>
      <c r="P86" s="3"/>
    </row>
    <row r="87" customFormat="false" ht="15.75" hidden="false" customHeight="true" outlineLevel="0" collapsed="false">
      <c r="A87" s="8" t="n">
        <v>46156</v>
      </c>
      <c r="B87" s="7" t="s">
        <v>186</v>
      </c>
      <c r="C87" s="7" t="s">
        <v>162</v>
      </c>
      <c r="D87" s="7" t="s">
        <v>39</v>
      </c>
      <c r="E87" s="7" t="s">
        <v>160</v>
      </c>
      <c r="F87" s="7" t="n">
        <v>7</v>
      </c>
      <c r="G87" s="7" t="n">
        <v>600</v>
      </c>
      <c r="H87" s="10" t="n">
        <v>0.0116666666666667</v>
      </c>
      <c r="I87" s="7" t="n">
        <v>12.43</v>
      </c>
      <c r="J87" s="7" t="s">
        <v>181</v>
      </c>
      <c r="K87" s="7" t="s">
        <v>187</v>
      </c>
      <c r="L87" s="7" t="s">
        <v>188</v>
      </c>
      <c r="M87" s="3"/>
      <c r="N87" s="3"/>
      <c r="O87" s="3"/>
      <c r="P87" s="3"/>
    </row>
    <row r="88" customFormat="false" ht="15.75" hidden="false" customHeight="true" outlineLevel="0" collapsed="false">
      <c r="A88" s="8" t="n">
        <v>46156</v>
      </c>
      <c r="B88" s="7" t="s">
        <v>189</v>
      </c>
      <c r="C88" s="7" t="s">
        <v>163</v>
      </c>
      <c r="D88" s="7" t="s">
        <v>39</v>
      </c>
      <c r="E88" s="7" t="s">
        <v>160</v>
      </c>
      <c r="F88" s="7" t="n">
        <v>8</v>
      </c>
      <c r="G88" s="7" t="n">
        <v>650</v>
      </c>
      <c r="H88" s="10" t="n">
        <v>0.0123076923076923</v>
      </c>
      <c r="I88" s="7" t="n">
        <v>11.89</v>
      </c>
      <c r="J88" s="7" t="s">
        <v>181</v>
      </c>
      <c r="K88" s="7" t="s">
        <v>187</v>
      </c>
      <c r="L88" s="7" t="s">
        <v>190</v>
      </c>
      <c r="M88" s="3"/>
      <c r="N88" s="3"/>
      <c r="O88" s="3"/>
      <c r="P88" s="3"/>
    </row>
    <row r="89" customFormat="false" ht="15.75" hidden="false" customHeight="true" outlineLevel="0" collapsed="false">
      <c r="A89" s="8" t="n">
        <v>46156</v>
      </c>
      <c r="B89" s="7" t="s">
        <v>191</v>
      </c>
      <c r="C89" s="7" t="s">
        <v>166</v>
      </c>
      <c r="D89" s="7" t="s">
        <v>39</v>
      </c>
      <c r="E89" s="7" t="s">
        <v>165</v>
      </c>
      <c r="F89" s="7" t="n">
        <v>86</v>
      </c>
      <c r="G89" s="7" t="n">
        <v>538</v>
      </c>
      <c r="H89" s="10" t="n">
        <v>0.159851301115242</v>
      </c>
      <c r="I89" s="7" t="n">
        <v>2.65</v>
      </c>
      <c r="J89" s="7" t="s">
        <v>178</v>
      </c>
      <c r="K89" s="7" t="s">
        <v>192</v>
      </c>
      <c r="L89" s="7" t="s">
        <v>178</v>
      </c>
      <c r="M89" s="3"/>
      <c r="N89" s="3"/>
      <c r="O89" s="3"/>
      <c r="P89" s="3"/>
    </row>
    <row r="90" customFormat="false" ht="15.75" hidden="false" customHeight="true" outlineLevel="0" collapsed="false">
      <c r="A90" s="8" t="n">
        <v>46157</v>
      </c>
      <c r="B90" s="7" t="s">
        <v>177</v>
      </c>
      <c r="C90" s="7" t="s">
        <v>164</v>
      </c>
      <c r="D90" s="7" t="s">
        <v>39</v>
      </c>
      <c r="E90" s="7" t="s">
        <v>160</v>
      </c>
      <c r="F90" s="7" t="n">
        <v>23</v>
      </c>
      <c r="G90" s="7" t="n">
        <v>423</v>
      </c>
      <c r="H90" s="10" t="n">
        <v>0.0543735224586288</v>
      </c>
      <c r="I90" s="7" t="n">
        <v>3.2</v>
      </c>
      <c r="J90" s="7" t="s">
        <v>178</v>
      </c>
      <c r="K90" s="7" t="s">
        <v>179</v>
      </c>
      <c r="L90" s="7" t="s">
        <v>178</v>
      </c>
      <c r="M90" s="3"/>
      <c r="N90" s="3"/>
      <c r="O90" s="3"/>
      <c r="P90" s="3"/>
    </row>
    <row r="91" customFormat="false" ht="15.75" hidden="false" customHeight="true" outlineLevel="0" collapsed="false">
      <c r="A91" s="8" t="n">
        <v>46157</v>
      </c>
      <c r="B91" s="7" t="s">
        <v>180</v>
      </c>
      <c r="C91" s="7" t="s">
        <v>157</v>
      </c>
      <c r="D91" s="7" t="s">
        <v>39</v>
      </c>
      <c r="E91" s="7" t="s">
        <v>160</v>
      </c>
      <c r="F91" s="7" t="n">
        <v>22</v>
      </c>
      <c r="G91" s="7" t="n">
        <v>814</v>
      </c>
      <c r="H91" s="10" t="n">
        <v>0.027027027027027</v>
      </c>
      <c r="I91" s="7" t="n">
        <v>8.08</v>
      </c>
      <c r="J91" s="7" t="s">
        <v>181</v>
      </c>
      <c r="K91" s="7" t="s">
        <v>182</v>
      </c>
      <c r="L91" s="7" t="s">
        <v>183</v>
      </c>
      <c r="M91" s="3"/>
      <c r="N91" s="3"/>
      <c r="O91" s="3"/>
      <c r="P91" s="3"/>
    </row>
    <row r="92" customFormat="false" ht="15.75" hidden="false" customHeight="true" outlineLevel="0" collapsed="false">
      <c r="A92" s="8" t="n">
        <v>46157</v>
      </c>
      <c r="B92" s="7" t="s">
        <v>184</v>
      </c>
      <c r="C92" s="7" t="s">
        <v>161</v>
      </c>
      <c r="D92" s="7" t="s">
        <v>39</v>
      </c>
      <c r="E92" s="7" t="s">
        <v>160</v>
      </c>
      <c r="F92" s="7" t="n">
        <v>23</v>
      </c>
      <c r="G92" s="7" t="n">
        <v>856</v>
      </c>
      <c r="H92" s="10" t="n">
        <v>0.0268691588785047</v>
      </c>
      <c r="I92" s="7" t="n">
        <v>8.08</v>
      </c>
      <c r="J92" s="7" t="s">
        <v>181</v>
      </c>
      <c r="K92" s="7" t="s">
        <v>182</v>
      </c>
      <c r="L92" s="7" t="s">
        <v>185</v>
      </c>
      <c r="M92" s="3"/>
      <c r="N92" s="3"/>
      <c r="O92" s="3"/>
      <c r="P92" s="3"/>
    </row>
    <row r="93" customFormat="false" ht="15.75" hidden="false" customHeight="true" outlineLevel="0" collapsed="false">
      <c r="A93" s="8" t="n">
        <v>46157</v>
      </c>
      <c r="B93" s="7" t="s">
        <v>186</v>
      </c>
      <c r="C93" s="7" t="s">
        <v>162</v>
      </c>
      <c r="D93" s="7" t="s">
        <v>39</v>
      </c>
      <c r="E93" s="7" t="s">
        <v>160</v>
      </c>
      <c r="F93" s="7" t="n">
        <v>8</v>
      </c>
      <c r="G93" s="7" t="n">
        <v>619</v>
      </c>
      <c r="H93" s="10" t="n">
        <v>0.012924071082391</v>
      </c>
      <c r="I93" s="7" t="n">
        <v>12.63</v>
      </c>
      <c r="J93" s="7" t="s">
        <v>181</v>
      </c>
      <c r="K93" s="7" t="s">
        <v>187</v>
      </c>
      <c r="L93" s="7" t="s">
        <v>188</v>
      </c>
      <c r="M93" s="3"/>
      <c r="N93" s="3"/>
      <c r="O93" s="3"/>
      <c r="P93" s="3"/>
    </row>
    <row r="94" customFormat="false" ht="15.75" hidden="false" customHeight="true" outlineLevel="0" collapsed="false">
      <c r="A94" s="8" t="n">
        <v>46157</v>
      </c>
      <c r="B94" s="7" t="s">
        <v>189</v>
      </c>
      <c r="C94" s="7" t="s">
        <v>163</v>
      </c>
      <c r="D94" s="7" t="s">
        <v>39</v>
      </c>
      <c r="E94" s="7" t="s">
        <v>160</v>
      </c>
      <c r="F94" s="7" t="n">
        <v>8</v>
      </c>
      <c r="G94" s="7" t="n">
        <v>666</v>
      </c>
      <c r="H94" s="10" t="n">
        <v>0.012012012012012</v>
      </c>
      <c r="I94" s="7" t="n">
        <v>12.3</v>
      </c>
      <c r="J94" s="7" t="s">
        <v>181</v>
      </c>
      <c r="K94" s="7" t="s">
        <v>187</v>
      </c>
      <c r="L94" s="7" t="s">
        <v>190</v>
      </c>
      <c r="M94" s="3"/>
      <c r="N94" s="3"/>
      <c r="O94" s="3"/>
      <c r="P94" s="3"/>
    </row>
    <row r="95" customFormat="false" ht="15.75" hidden="false" customHeight="true" outlineLevel="0" collapsed="false">
      <c r="A95" s="8" t="n">
        <v>46157</v>
      </c>
      <c r="B95" s="7" t="s">
        <v>191</v>
      </c>
      <c r="C95" s="7" t="s">
        <v>166</v>
      </c>
      <c r="D95" s="7" t="s">
        <v>39</v>
      </c>
      <c r="E95" s="7" t="s">
        <v>165</v>
      </c>
      <c r="F95" s="7" t="n">
        <v>30</v>
      </c>
      <c r="G95" s="7" t="n">
        <v>551</v>
      </c>
      <c r="H95" s="10" t="n">
        <v>0.0544464609800363</v>
      </c>
      <c r="I95" s="7" t="n">
        <v>3.17</v>
      </c>
      <c r="J95" s="7" t="s">
        <v>178</v>
      </c>
      <c r="K95" s="7" t="s">
        <v>192</v>
      </c>
      <c r="L95" s="7" t="s">
        <v>178</v>
      </c>
      <c r="M95" s="3"/>
      <c r="N95" s="3"/>
      <c r="O95" s="3"/>
      <c r="P95" s="3"/>
    </row>
    <row r="96" customFormat="false" ht="15.75" hidden="false" customHeight="true" outlineLevel="0" collapsed="false">
      <c r="A96" s="8" t="n">
        <v>46158</v>
      </c>
      <c r="B96" s="7" t="s">
        <v>177</v>
      </c>
      <c r="C96" s="7" t="s">
        <v>164</v>
      </c>
      <c r="D96" s="7" t="s">
        <v>39</v>
      </c>
      <c r="E96" s="7" t="s">
        <v>160</v>
      </c>
      <c r="F96" s="7" t="n">
        <v>24</v>
      </c>
      <c r="G96" s="7" t="n">
        <v>451</v>
      </c>
      <c r="H96" s="10" t="n">
        <v>0.0532150776053215</v>
      </c>
      <c r="I96" s="7" t="n">
        <v>3.05</v>
      </c>
      <c r="J96" s="7" t="s">
        <v>178</v>
      </c>
      <c r="K96" s="7" t="s">
        <v>179</v>
      </c>
      <c r="L96" s="7" t="s">
        <v>178</v>
      </c>
      <c r="M96" s="3"/>
      <c r="N96" s="3"/>
      <c r="O96" s="3"/>
      <c r="P96" s="3"/>
    </row>
    <row r="97" customFormat="false" ht="15.75" hidden="false" customHeight="true" outlineLevel="0" collapsed="false">
      <c r="A97" s="8" t="n">
        <v>46158</v>
      </c>
      <c r="B97" s="7" t="s">
        <v>180</v>
      </c>
      <c r="C97" s="7" t="s">
        <v>157</v>
      </c>
      <c r="D97" s="7" t="s">
        <v>39</v>
      </c>
      <c r="E97" s="7" t="s">
        <v>160</v>
      </c>
      <c r="F97" s="7" t="n">
        <v>22</v>
      </c>
      <c r="G97" s="7" t="n">
        <v>802</v>
      </c>
      <c r="H97" s="10" t="n">
        <v>0.027431421446384</v>
      </c>
      <c r="I97" s="7" t="n">
        <v>7.66</v>
      </c>
      <c r="J97" s="7" t="s">
        <v>181</v>
      </c>
      <c r="K97" s="7" t="s">
        <v>182</v>
      </c>
      <c r="L97" s="7" t="s">
        <v>183</v>
      </c>
      <c r="M97" s="3"/>
      <c r="N97" s="3"/>
      <c r="O97" s="3"/>
      <c r="P97" s="3"/>
    </row>
    <row r="98" customFormat="false" ht="15.75" hidden="false" customHeight="true" outlineLevel="0" collapsed="false">
      <c r="A98" s="8" t="n">
        <v>46158</v>
      </c>
      <c r="B98" s="7" t="s">
        <v>184</v>
      </c>
      <c r="C98" s="7" t="s">
        <v>161</v>
      </c>
      <c r="D98" s="7" t="s">
        <v>39</v>
      </c>
      <c r="E98" s="7" t="s">
        <v>160</v>
      </c>
      <c r="F98" s="7" t="n">
        <v>22</v>
      </c>
      <c r="G98" s="7" t="n">
        <v>810</v>
      </c>
      <c r="H98" s="10" t="n">
        <v>0.0271604938271605</v>
      </c>
      <c r="I98" s="7" t="n">
        <v>7.47</v>
      </c>
      <c r="J98" s="7" t="s">
        <v>181</v>
      </c>
      <c r="K98" s="7" t="s">
        <v>182</v>
      </c>
      <c r="L98" s="7" t="s">
        <v>185</v>
      </c>
      <c r="M98" s="3"/>
      <c r="N98" s="3"/>
      <c r="O98" s="3"/>
      <c r="P98" s="3"/>
    </row>
    <row r="99" customFormat="false" ht="15.75" hidden="false" customHeight="true" outlineLevel="0" collapsed="false">
      <c r="A99" s="8" t="n">
        <v>46158</v>
      </c>
      <c r="B99" s="7" t="s">
        <v>186</v>
      </c>
      <c r="C99" s="7" t="s">
        <v>162</v>
      </c>
      <c r="D99" s="7" t="s">
        <v>39</v>
      </c>
      <c r="E99" s="7" t="s">
        <v>165</v>
      </c>
      <c r="F99" s="7" t="n">
        <v>7</v>
      </c>
      <c r="G99" s="7" t="n">
        <v>579</v>
      </c>
      <c r="H99" s="10" t="n">
        <v>0.0120898100172712</v>
      </c>
      <c r="I99" s="7" t="n">
        <v>12.63</v>
      </c>
      <c r="J99" s="7" t="s">
        <v>181</v>
      </c>
      <c r="K99" s="7" t="s">
        <v>187</v>
      </c>
      <c r="L99" s="7" t="s">
        <v>188</v>
      </c>
      <c r="M99" s="3"/>
      <c r="N99" s="3"/>
      <c r="O99" s="3"/>
      <c r="P99" s="3"/>
    </row>
    <row r="100" customFormat="false" ht="15.75" hidden="false" customHeight="true" outlineLevel="0" collapsed="false">
      <c r="A100" s="8" t="n">
        <v>46158</v>
      </c>
      <c r="B100" s="7" t="s">
        <v>189</v>
      </c>
      <c r="C100" s="7" t="s">
        <v>163</v>
      </c>
      <c r="D100" s="7" t="s">
        <v>39</v>
      </c>
      <c r="E100" s="7" t="s">
        <v>160</v>
      </c>
      <c r="F100" s="7" t="n">
        <v>8</v>
      </c>
      <c r="G100" s="7" t="n">
        <v>623</v>
      </c>
      <c r="H100" s="10" t="n">
        <v>0.0128410914927769</v>
      </c>
      <c r="I100" s="7" t="n">
        <v>12.71</v>
      </c>
      <c r="J100" s="7" t="s">
        <v>181</v>
      </c>
      <c r="K100" s="7" t="s">
        <v>187</v>
      </c>
      <c r="L100" s="7" t="s">
        <v>190</v>
      </c>
      <c r="M100" s="3"/>
      <c r="N100" s="3"/>
      <c r="O100" s="3"/>
      <c r="P100" s="3"/>
    </row>
    <row r="101" customFormat="false" ht="15.75" hidden="false" customHeight="true" outlineLevel="0" collapsed="false">
      <c r="A101" s="8" t="n">
        <v>46158</v>
      </c>
      <c r="B101" s="7" t="s">
        <v>191</v>
      </c>
      <c r="C101" s="7" t="s">
        <v>166</v>
      </c>
      <c r="D101" s="7" t="s">
        <v>39</v>
      </c>
      <c r="E101" s="7" t="s">
        <v>160</v>
      </c>
      <c r="F101" s="7" t="n">
        <v>67</v>
      </c>
      <c r="G101" s="7" t="n">
        <v>420</v>
      </c>
      <c r="H101" s="10" t="n">
        <v>0.15952380952381</v>
      </c>
      <c r="I101" s="7" t="n">
        <v>2.6</v>
      </c>
      <c r="J101" s="7" t="s">
        <v>178</v>
      </c>
      <c r="K101" s="7" t="s">
        <v>192</v>
      </c>
      <c r="L101" s="7" t="s">
        <v>178</v>
      </c>
      <c r="M101" s="3"/>
      <c r="N101" s="3"/>
      <c r="O101" s="3"/>
      <c r="P101" s="3"/>
    </row>
    <row r="102" customFormat="false" ht="15.75" hidden="false" customHeight="true" outlineLevel="0" collapsed="false">
      <c r="A102" s="8" t="n">
        <v>46159</v>
      </c>
      <c r="B102" s="7" t="s">
        <v>177</v>
      </c>
      <c r="C102" s="7" t="s">
        <v>164</v>
      </c>
      <c r="D102" s="7" t="s">
        <v>39</v>
      </c>
      <c r="E102" s="7" t="s">
        <v>160</v>
      </c>
      <c r="F102" s="7" t="n">
        <v>67</v>
      </c>
      <c r="G102" s="7" t="n">
        <v>419</v>
      </c>
      <c r="H102" s="10" t="n">
        <v>0.159904534606205</v>
      </c>
      <c r="I102" s="7" t="n">
        <v>2.76</v>
      </c>
      <c r="J102" s="7" t="s">
        <v>178</v>
      </c>
      <c r="K102" s="7" t="s">
        <v>179</v>
      </c>
      <c r="L102" s="7" t="s">
        <v>178</v>
      </c>
      <c r="M102" s="3"/>
      <c r="N102" s="3"/>
      <c r="O102" s="3"/>
      <c r="P102" s="3"/>
    </row>
    <row r="103" customFormat="false" ht="15.75" hidden="false" customHeight="true" outlineLevel="0" collapsed="false">
      <c r="A103" s="8" t="n">
        <v>46159</v>
      </c>
      <c r="B103" s="7" t="s">
        <v>180</v>
      </c>
      <c r="C103" s="7" t="s">
        <v>157</v>
      </c>
      <c r="D103" s="7" t="s">
        <v>39</v>
      </c>
      <c r="E103" s="7" t="s">
        <v>160</v>
      </c>
      <c r="F103" s="7" t="n">
        <v>22</v>
      </c>
      <c r="G103" s="7" t="n">
        <v>786</v>
      </c>
      <c r="H103" s="10" t="n">
        <v>0.0279898218829517</v>
      </c>
      <c r="I103" s="7" t="n">
        <v>7.86</v>
      </c>
      <c r="J103" s="7" t="s">
        <v>181</v>
      </c>
      <c r="K103" s="7" t="s">
        <v>182</v>
      </c>
      <c r="L103" s="7" t="s">
        <v>183</v>
      </c>
      <c r="M103" s="3"/>
      <c r="N103" s="3"/>
      <c r="O103" s="3"/>
      <c r="P103" s="3"/>
    </row>
    <row r="104" customFormat="false" ht="15.75" hidden="false" customHeight="true" outlineLevel="0" collapsed="false">
      <c r="A104" s="8" t="n">
        <v>46159</v>
      </c>
      <c r="B104" s="7" t="s">
        <v>184</v>
      </c>
      <c r="C104" s="7" t="s">
        <v>161</v>
      </c>
      <c r="D104" s="7" t="s">
        <v>39</v>
      </c>
      <c r="E104" s="7" t="s">
        <v>160</v>
      </c>
      <c r="F104" s="7" t="n">
        <v>21</v>
      </c>
      <c r="G104" s="7" t="n">
        <v>761</v>
      </c>
      <c r="H104" s="10" t="n">
        <v>0.0275952693823916</v>
      </c>
      <c r="I104" s="7" t="n">
        <v>8.5</v>
      </c>
      <c r="J104" s="7" t="s">
        <v>181</v>
      </c>
      <c r="K104" s="7" t="s">
        <v>182</v>
      </c>
      <c r="L104" s="7" t="s">
        <v>185</v>
      </c>
      <c r="M104" s="3"/>
      <c r="N104" s="3"/>
      <c r="O104" s="3"/>
      <c r="P104" s="3"/>
    </row>
    <row r="105" customFormat="false" ht="15.75" hidden="false" customHeight="true" outlineLevel="0" collapsed="false">
      <c r="A105" s="8" t="n">
        <v>46159</v>
      </c>
      <c r="B105" s="7" t="s">
        <v>186</v>
      </c>
      <c r="C105" s="7" t="s">
        <v>162</v>
      </c>
      <c r="D105" s="7" t="s">
        <v>39</v>
      </c>
      <c r="E105" s="7" t="s">
        <v>160</v>
      </c>
      <c r="F105" s="7" t="n">
        <v>6</v>
      </c>
      <c r="G105" s="7" t="n">
        <v>529</v>
      </c>
      <c r="H105" s="10" t="n">
        <v>0.0113421550094518</v>
      </c>
      <c r="I105" s="7" t="n">
        <v>13.2</v>
      </c>
      <c r="J105" s="7" t="s">
        <v>181</v>
      </c>
      <c r="K105" s="7" t="s">
        <v>187</v>
      </c>
      <c r="L105" s="7" t="s">
        <v>188</v>
      </c>
      <c r="M105" s="3"/>
      <c r="N105" s="3"/>
      <c r="O105" s="3"/>
      <c r="P105" s="3"/>
    </row>
    <row r="106" customFormat="false" ht="15.75" hidden="false" customHeight="true" outlineLevel="0" collapsed="false">
      <c r="A106" s="8" t="n">
        <v>46159</v>
      </c>
      <c r="B106" s="7" t="s">
        <v>189</v>
      </c>
      <c r="C106" s="7" t="s">
        <v>163</v>
      </c>
      <c r="D106" s="7" t="s">
        <v>39</v>
      </c>
      <c r="E106" s="7" t="s">
        <v>160</v>
      </c>
      <c r="F106" s="7" t="n">
        <v>8</v>
      </c>
      <c r="G106" s="7" t="n">
        <v>616</v>
      </c>
      <c r="H106" s="10" t="n">
        <v>0.012987012987013</v>
      </c>
      <c r="I106" s="7" t="n">
        <v>12.67</v>
      </c>
      <c r="J106" s="7" t="s">
        <v>181</v>
      </c>
      <c r="K106" s="7" t="s">
        <v>187</v>
      </c>
      <c r="L106" s="7" t="s">
        <v>190</v>
      </c>
      <c r="M106" s="3"/>
      <c r="N106" s="3"/>
      <c r="O106" s="3"/>
      <c r="P106" s="3"/>
    </row>
    <row r="107" customFormat="false" ht="15.75" hidden="false" customHeight="true" outlineLevel="0" collapsed="false">
      <c r="A107" s="8" t="n">
        <v>46159</v>
      </c>
      <c r="B107" s="7" t="s">
        <v>191</v>
      </c>
      <c r="C107" s="7" t="s">
        <v>166</v>
      </c>
      <c r="D107" s="7" t="s">
        <v>39</v>
      </c>
      <c r="E107" s="7" t="s">
        <v>160</v>
      </c>
      <c r="F107" s="7" t="n">
        <v>26</v>
      </c>
      <c r="G107" s="7" t="n">
        <v>485</v>
      </c>
      <c r="H107" s="10" t="n">
        <v>0.0536082474226804</v>
      </c>
      <c r="I107" s="7" t="n">
        <v>3.09</v>
      </c>
      <c r="J107" s="7" t="s">
        <v>178</v>
      </c>
      <c r="K107" s="7" t="s">
        <v>192</v>
      </c>
      <c r="L107" s="7" t="s">
        <v>178</v>
      </c>
      <c r="M107" s="3"/>
      <c r="N107" s="3"/>
      <c r="O107" s="3"/>
      <c r="P107" s="3"/>
    </row>
    <row r="108" customFormat="false" ht="15.75" hidden="false" customHeight="true" outlineLevel="0" collapsed="false">
      <c r="A108" s="8" t="n">
        <v>46160</v>
      </c>
      <c r="B108" s="7" t="s">
        <v>177</v>
      </c>
      <c r="C108" s="7" t="s">
        <v>164</v>
      </c>
      <c r="D108" s="7" t="s">
        <v>39</v>
      </c>
      <c r="E108" s="7" t="s">
        <v>160</v>
      </c>
      <c r="F108" s="7" t="n">
        <v>24</v>
      </c>
      <c r="G108" s="7" t="n">
        <v>452</v>
      </c>
      <c r="H108" s="10" t="n">
        <v>0.0530973451327434</v>
      </c>
      <c r="I108" s="7" t="n">
        <v>3.01</v>
      </c>
      <c r="J108" s="7" t="s">
        <v>178</v>
      </c>
      <c r="K108" s="7" t="s">
        <v>179</v>
      </c>
      <c r="L108" s="7" t="s">
        <v>178</v>
      </c>
      <c r="M108" s="3"/>
      <c r="N108" s="3"/>
      <c r="O108" s="3"/>
      <c r="P108" s="3"/>
    </row>
    <row r="109" customFormat="false" ht="15.75" hidden="false" customHeight="true" outlineLevel="0" collapsed="false">
      <c r="A109" s="8" t="n">
        <v>46160</v>
      </c>
      <c r="B109" s="7" t="s">
        <v>180</v>
      </c>
      <c r="C109" s="7" t="s">
        <v>157</v>
      </c>
      <c r="D109" s="7" t="s">
        <v>39</v>
      </c>
      <c r="E109" s="7" t="s">
        <v>160</v>
      </c>
      <c r="F109" s="7" t="n">
        <v>23</v>
      </c>
      <c r="G109" s="7" t="n">
        <v>844</v>
      </c>
      <c r="H109" s="10" t="n">
        <v>0.0272511848341232</v>
      </c>
      <c r="I109" s="7" t="n">
        <v>7.99</v>
      </c>
      <c r="J109" s="7" t="s">
        <v>181</v>
      </c>
      <c r="K109" s="7" t="s">
        <v>182</v>
      </c>
      <c r="L109" s="7" t="s">
        <v>183</v>
      </c>
      <c r="M109" s="3"/>
      <c r="N109" s="3"/>
      <c r="O109" s="3"/>
      <c r="P109" s="3"/>
    </row>
    <row r="110" customFormat="false" ht="15.75" hidden="false" customHeight="true" outlineLevel="0" collapsed="false">
      <c r="A110" s="8" t="n">
        <v>46160</v>
      </c>
      <c r="B110" s="7" t="s">
        <v>184</v>
      </c>
      <c r="C110" s="7" t="s">
        <v>161</v>
      </c>
      <c r="D110" s="7" t="s">
        <v>39</v>
      </c>
      <c r="E110" s="7" t="s">
        <v>160</v>
      </c>
      <c r="F110" s="7" t="n">
        <v>20</v>
      </c>
      <c r="G110" s="7" t="n">
        <v>741</v>
      </c>
      <c r="H110" s="10" t="n">
        <v>0.0269905533063428</v>
      </c>
      <c r="I110" s="7" t="n">
        <v>7.64</v>
      </c>
      <c r="J110" s="7" t="s">
        <v>181</v>
      </c>
      <c r="K110" s="7" t="s">
        <v>182</v>
      </c>
      <c r="L110" s="7" t="s">
        <v>185</v>
      </c>
      <c r="M110" s="3"/>
      <c r="N110" s="3"/>
      <c r="O110" s="3"/>
      <c r="P110" s="3"/>
    </row>
    <row r="111" customFormat="false" ht="15.75" hidden="false" customHeight="true" outlineLevel="0" collapsed="false">
      <c r="A111" s="8" t="n">
        <v>46160</v>
      </c>
      <c r="B111" s="7" t="s">
        <v>186</v>
      </c>
      <c r="C111" s="7" t="s">
        <v>162</v>
      </c>
      <c r="D111" s="7" t="s">
        <v>39</v>
      </c>
      <c r="E111" s="7" t="s">
        <v>160</v>
      </c>
      <c r="F111" s="7" t="n">
        <v>7</v>
      </c>
      <c r="G111" s="7" t="n">
        <v>550</v>
      </c>
      <c r="H111" s="10" t="n">
        <v>0.0127272727272727</v>
      </c>
      <c r="I111" s="7" t="n">
        <v>12.33</v>
      </c>
      <c r="J111" s="7" t="s">
        <v>181</v>
      </c>
      <c r="K111" s="7" t="s">
        <v>187</v>
      </c>
      <c r="L111" s="7" t="s">
        <v>188</v>
      </c>
      <c r="M111" s="3"/>
      <c r="N111" s="3"/>
      <c r="O111" s="3"/>
      <c r="P111" s="3"/>
    </row>
    <row r="112" customFormat="false" ht="15.75" hidden="false" customHeight="true" outlineLevel="0" collapsed="false">
      <c r="A112" s="8" t="n">
        <v>46160</v>
      </c>
      <c r="B112" s="7" t="s">
        <v>189</v>
      </c>
      <c r="C112" s="7" t="s">
        <v>163</v>
      </c>
      <c r="D112" s="7" t="s">
        <v>39</v>
      </c>
      <c r="E112" s="7" t="s">
        <v>160</v>
      </c>
      <c r="F112" s="7" t="n">
        <v>8</v>
      </c>
      <c r="G112" s="7" t="n">
        <v>626</v>
      </c>
      <c r="H112" s="10" t="n">
        <v>0.012779552715655</v>
      </c>
      <c r="I112" s="7" t="n">
        <v>12.92</v>
      </c>
      <c r="J112" s="7" t="s">
        <v>181</v>
      </c>
      <c r="K112" s="7" t="s">
        <v>187</v>
      </c>
      <c r="L112" s="7" t="s">
        <v>190</v>
      </c>
      <c r="M112" s="3"/>
      <c r="N112" s="3"/>
      <c r="O112" s="3"/>
      <c r="P112" s="3"/>
    </row>
    <row r="113" customFormat="false" ht="15.75" hidden="false" customHeight="true" outlineLevel="0" collapsed="false">
      <c r="A113" s="8" t="n">
        <v>46160</v>
      </c>
      <c r="B113" s="7" t="s">
        <v>191</v>
      </c>
      <c r="C113" s="7" t="s">
        <v>166</v>
      </c>
      <c r="D113" s="7" t="s">
        <v>39</v>
      </c>
      <c r="E113" s="7" t="s">
        <v>165</v>
      </c>
      <c r="F113" s="7" t="n">
        <v>22</v>
      </c>
      <c r="G113" s="7" t="n">
        <v>416</v>
      </c>
      <c r="H113" s="10" t="n">
        <v>0.0528846153846154</v>
      </c>
      <c r="I113" s="7" t="n">
        <v>3.37</v>
      </c>
      <c r="J113" s="7" t="s">
        <v>178</v>
      </c>
      <c r="K113" s="7" t="s">
        <v>192</v>
      </c>
      <c r="L113" s="7" t="s">
        <v>178</v>
      </c>
      <c r="M113" s="3"/>
      <c r="N113" s="3"/>
      <c r="O113" s="3"/>
      <c r="P113" s="3"/>
    </row>
    <row r="114" customFormat="false" ht="15.75" hidden="false" customHeight="true" outlineLevel="0" collapsed="false">
      <c r="A114" s="8" t="n">
        <v>46161</v>
      </c>
      <c r="B114" s="7" t="s">
        <v>177</v>
      </c>
      <c r="C114" s="7" t="s">
        <v>164</v>
      </c>
      <c r="D114" s="7" t="s">
        <v>39</v>
      </c>
      <c r="E114" s="7" t="s">
        <v>160</v>
      </c>
      <c r="F114" s="7" t="n">
        <v>26</v>
      </c>
      <c r="G114" s="7" t="n">
        <v>489</v>
      </c>
      <c r="H114" s="10" t="n">
        <v>0.0531697341513292</v>
      </c>
      <c r="I114" s="7" t="n">
        <v>3.13</v>
      </c>
      <c r="J114" s="7" t="s">
        <v>178</v>
      </c>
      <c r="K114" s="7" t="s">
        <v>179</v>
      </c>
      <c r="L114" s="7" t="s">
        <v>178</v>
      </c>
      <c r="M114" s="3"/>
      <c r="N114" s="3"/>
      <c r="O114" s="3"/>
      <c r="P114" s="3"/>
    </row>
    <row r="115" customFormat="false" ht="15.75" hidden="false" customHeight="true" outlineLevel="0" collapsed="false">
      <c r="A115" s="8" t="n">
        <v>46161</v>
      </c>
      <c r="B115" s="7" t="s">
        <v>180</v>
      </c>
      <c r="C115" s="7" t="s">
        <v>157</v>
      </c>
      <c r="D115" s="7" t="s">
        <v>39</v>
      </c>
      <c r="E115" s="7" t="s">
        <v>160</v>
      </c>
      <c r="F115" s="7" t="n">
        <v>21</v>
      </c>
      <c r="G115" s="7" t="n">
        <v>750</v>
      </c>
      <c r="H115" s="10" t="n">
        <v>0.028</v>
      </c>
      <c r="I115" s="7" t="n">
        <v>8.38</v>
      </c>
      <c r="J115" s="7" t="s">
        <v>181</v>
      </c>
      <c r="K115" s="7" t="s">
        <v>182</v>
      </c>
      <c r="L115" s="7" t="s">
        <v>183</v>
      </c>
      <c r="M115" s="3"/>
      <c r="N115" s="3"/>
      <c r="O115" s="3"/>
      <c r="P115" s="3"/>
    </row>
    <row r="116" customFormat="false" ht="15.75" hidden="false" customHeight="true" outlineLevel="0" collapsed="false">
      <c r="A116" s="8" t="n">
        <v>46161</v>
      </c>
      <c r="B116" s="7" t="s">
        <v>184</v>
      </c>
      <c r="C116" s="7" t="s">
        <v>161</v>
      </c>
      <c r="D116" s="7" t="s">
        <v>39</v>
      </c>
      <c r="E116" s="7" t="s">
        <v>165</v>
      </c>
      <c r="F116" s="7" t="n">
        <v>24</v>
      </c>
      <c r="G116" s="7" t="n">
        <v>865</v>
      </c>
      <c r="H116" s="10" t="n">
        <v>0.0277456647398844</v>
      </c>
      <c r="I116" s="7" t="n">
        <v>7.56</v>
      </c>
      <c r="J116" s="7" t="s">
        <v>181</v>
      </c>
      <c r="K116" s="7" t="s">
        <v>182</v>
      </c>
      <c r="L116" s="7" t="s">
        <v>185</v>
      </c>
      <c r="M116" s="3"/>
      <c r="N116" s="3"/>
      <c r="O116" s="3"/>
      <c r="P116" s="3"/>
    </row>
    <row r="117" customFormat="false" ht="15.75" hidden="false" customHeight="true" outlineLevel="0" collapsed="false">
      <c r="A117" s="8" t="n">
        <v>46161</v>
      </c>
      <c r="B117" s="7" t="s">
        <v>186</v>
      </c>
      <c r="C117" s="7" t="s">
        <v>162</v>
      </c>
      <c r="D117" s="7" t="s">
        <v>39</v>
      </c>
      <c r="E117" s="7" t="s">
        <v>160</v>
      </c>
      <c r="F117" s="7" t="n">
        <v>7</v>
      </c>
      <c r="G117" s="7" t="n">
        <v>539</v>
      </c>
      <c r="H117" s="10" t="n">
        <v>0.012987012987013</v>
      </c>
      <c r="I117" s="7" t="n">
        <v>12.38</v>
      </c>
      <c r="J117" s="7" t="s">
        <v>181</v>
      </c>
      <c r="K117" s="7" t="s">
        <v>187</v>
      </c>
      <c r="L117" s="7" t="s">
        <v>188</v>
      </c>
      <c r="M117" s="3"/>
      <c r="N117" s="3"/>
      <c r="O117" s="3"/>
      <c r="P117" s="3"/>
    </row>
    <row r="118" customFormat="false" ht="15.75" hidden="false" customHeight="true" outlineLevel="0" collapsed="false">
      <c r="A118" s="8" t="n">
        <v>46161</v>
      </c>
      <c r="B118" s="7" t="s">
        <v>189</v>
      </c>
      <c r="C118" s="7" t="s">
        <v>163</v>
      </c>
      <c r="D118" s="7" t="s">
        <v>39</v>
      </c>
      <c r="E118" s="7" t="s">
        <v>160</v>
      </c>
      <c r="F118" s="7" t="n">
        <v>7</v>
      </c>
      <c r="G118" s="7" t="n">
        <v>546</v>
      </c>
      <c r="H118" s="10" t="n">
        <v>0.0128205128205128</v>
      </c>
      <c r="I118" s="7" t="n">
        <v>12.02</v>
      </c>
      <c r="J118" s="7" t="s">
        <v>181</v>
      </c>
      <c r="K118" s="7" t="s">
        <v>187</v>
      </c>
      <c r="L118" s="7" t="s">
        <v>190</v>
      </c>
      <c r="M118" s="3"/>
      <c r="N118" s="3"/>
      <c r="O118" s="3"/>
      <c r="P118" s="3"/>
    </row>
    <row r="119" customFormat="false" ht="15.75" hidden="false" customHeight="true" outlineLevel="0" collapsed="false">
      <c r="A119" s="8" t="n">
        <v>46161</v>
      </c>
      <c r="B119" s="7" t="s">
        <v>191</v>
      </c>
      <c r="C119" s="7" t="s">
        <v>166</v>
      </c>
      <c r="D119" s="7" t="s">
        <v>39</v>
      </c>
      <c r="E119" s="7" t="s">
        <v>160</v>
      </c>
      <c r="F119" s="7" t="n">
        <v>80</v>
      </c>
      <c r="G119" s="7" t="n">
        <v>502</v>
      </c>
      <c r="H119" s="10" t="n">
        <v>0.159362549800797</v>
      </c>
      <c r="I119" s="7" t="n">
        <v>2.24</v>
      </c>
      <c r="J119" s="7" t="s">
        <v>178</v>
      </c>
      <c r="K119" s="7" t="s">
        <v>192</v>
      </c>
      <c r="L119" s="7" t="s">
        <v>178</v>
      </c>
      <c r="M119" s="3"/>
      <c r="N119" s="3"/>
      <c r="O119" s="3"/>
      <c r="P119" s="3"/>
    </row>
    <row r="120" customFormat="false" ht="15.75" hidden="false" customHeight="true" outlineLevel="0" collapsed="false">
      <c r="A120" s="8" t="n">
        <v>46162</v>
      </c>
      <c r="B120" s="7" t="s">
        <v>177</v>
      </c>
      <c r="C120" s="7" t="s">
        <v>164</v>
      </c>
      <c r="D120" s="7" t="s">
        <v>39</v>
      </c>
      <c r="E120" s="7" t="s">
        <v>160</v>
      </c>
      <c r="F120" s="7" t="n">
        <v>79</v>
      </c>
      <c r="G120" s="7" t="n">
        <v>494</v>
      </c>
      <c r="H120" s="10" t="n">
        <v>0.159919028340081</v>
      </c>
      <c r="I120" s="7" t="n">
        <v>2.48</v>
      </c>
      <c r="J120" s="7" t="s">
        <v>178</v>
      </c>
      <c r="K120" s="7" t="s">
        <v>179</v>
      </c>
      <c r="L120" s="7" t="s">
        <v>178</v>
      </c>
      <c r="M120" s="3"/>
      <c r="N120" s="3"/>
      <c r="O120" s="3"/>
      <c r="P120" s="3"/>
    </row>
    <row r="121" customFormat="false" ht="15.75" hidden="false" customHeight="true" outlineLevel="0" collapsed="false">
      <c r="A121" s="8" t="n">
        <v>46162</v>
      </c>
      <c r="B121" s="7" t="s">
        <v>180</v>
      </c>
      <c r="C121" s="7" t="s">
        <v>157</v>
      </c>
      <c r="D121" s="7" t="s">
        <v>39</v>
      </c>
      <c r="E121" s="7" t="s">
        <v>160</v>
      </c>
      <c r="F121" s="7" t="n">
        <v>23</v>
      </c>
      <c r="G121" s="7" t="n">
        <v>848</v>
      </c>
      <c r="H121" s="10" t="n">
        <v>0.027122641509434</v>
      </c>
      <c r="I121" s="7" t="n">
        <v>8.09</v>
      </c>
      <c r="J121" s="7" t="s">
        <v>181</v>
      </c>
      <c r="K121" s="7" t="s">
        <v>182</v>
      </c>
      <c r="L121" s="7" t="s">
        <v>183</v>
      </c>
      <c r="M121" s="3"/>
      <c r="N121" s="3"/>
      <c r="O121" s="3"/>
      <c r="P121" s="3"/>
    </row>
    <row r="122" customFormat="false" ht="15.75" hidden="false" customHeight="true" outlineLevel="0" collapsed="false">
      <c r="A122" s="8" t="n">
        <v>46162</v>
      </c>
      <c r="B122" s="7" t="s">
        <v>184</v>
      </c>
      <c r="C122" s="7" t="s">
        <v>161</v>
      </c>
      <c r="D122" s="7" t="s">
        <v>39</v>
      </c>
      <c r="E122" s="7" t="s">
        <v>160</v>
      </c>
      <c r="F122" s="7" t="n">
        <v>22</v>
      </c>
      <c r="G122" s="7" t="n">
        <v>821</v>
      </c>
      <c r="H122" s="10" t="n">
        <v>0.0267965895249696</v>
      </c>
      <c r="I122" s="7" t="n">
        <v>8.12</v>
      </c>
      <c r="J122" s="7" t="s">
        <v>181</v>
      </c>
      <c r="K122" s="7" t="s">
        <v>182</v>
      </c>
      <c r="L122" s="7" t="s">
        <v>185</v>
      </c>
      <c r="M122" s="3"/>
      <c r="N122" s="3"/>
      <c r="O122" s="3"/>
      <c r="P122" s="3"/>
    </row>
    <row r="123" customFormat="false" ht="15.75" hidden="false" customHeight="true" outlineLevel="0" collapsed="false">
      <c r="A123" s="8" t="n">
        <v>46162</v>
      </c>
      <c r="B123" s="7" t="s">
        <v>186</v>
      </c>
      <c r="C123" s="7" t="s">
        <v>162</v>
      </c>
      <c r="D123" s="7" t="s">
        <v>39</v>
      </c>
      <c r="E123" s="7" t="s">
        <v>160</v>
      </c>
      <c r="F123" s="7" t="n">
        <v>8</v>
      </c>
      <c r="G123" s="7" t="n">
        <v>655</v>
      </c>
      <c r="H123" s="10" t="n">
        <v>0.0122137404580153</v>
      </c>
      <c r="I123" s="7" t="n">
        <v>12.84</v>
      </c>
      <c r="J123" s="7" t="s">
        <v>181</v>
      </c>
      <c r="K123" s="7" t="s">
        <v>187</v>
      </c>
      <c r="L123" s="7" t="s">
        <v>188</v>
      </c>
      <c r="M123" s="3"/>
      <c r="N123" s="3"/>
      <c r="O123" s="3"/>
      <c r="P123" s="3"/>
    </row>
    <row r="124" customFormat="false" ht="15.75" hidden="false" customHeight="true" outlineLevel="0" collapsed="false">
      <c r="A124" s="8" t="n">
        <v>46162</v>
      </c>
      <c r="B124" s="7" t="s">
        <v>189</v>
      </c>
      <c r="C124" s="7" t="s">
        <v>163</v>
      </c>
      <c r="D124" s="7" t="s">
        <v>39</v>
      </c>
      <c r="E124" s="7" t="s">
        <v>160</v>
      </c>
      <c r="F124" s="7" t="n">
        <v>8</v>
      </c>
      <c r="G124" s="7" t="n">
        <v>664</v>
      </c>
      <c r="H124" s="10" t="n">
        <v>0.0120481927710843</v>
      </c>
      <c r="I124" s="7" t="n">
        <v>12.25</v>
      </c>
      <c r="J124" s="7" t="s">
        <v>181</v>
      </c>
      <c r="K124" s="7" t="s">
        <v>187</v>
      </c>
      <c r="L124" s="7" t="s">
        <v>190</v>
      </c>
      <c r="M124" s="3"/>
      <c r="N124" s="3"/>
      <c r="O124" s="3"/>
      <c r="P124" s="3"/>
    </row>
    <row r="125" customFormat="false" ht="15.75" hidden="false" customHeight="true" outlineLevel="0" collapsed="false">
      <c r="A125" s="8" t="n">
        <v>46162</v>
      </c>
      <c r="B125" s="7" t="s">
        <v>191</v>
      </c>
      <c r="C125" s="7" t="s">
        <v>166</v>
      </c>
      <c r="D125" s="7" t="s">
        <v>39</v>
      </c>
      <c r="E125" s="7" t="s">
        <v>160</v>
      </c>
      <c r="F125" s="7" t="n">
        <v>24</v>
      </c>
      <c r="G125" s="7" t="n">
        <v>439</v>
      </c>
      <c r="H125" s="10" t="n">
        <v>0.0546697038724374</v>
      </c>
      <c r="I125" s="7" t="n">
        <v>3.11</v>
      </c>
      <c r="J125" s="7" t="s">
        <v>178</v>
      </c>
      <c r="K125" s="7" t="s">
        <v>192</v>
      </c>
      <c r="L125" s="7" t="s">
        <v>178</v>
      </c>
      <c r="M125" s="3"/>
      <c r="N125" s="3"/>
      <c r="O125" s="3"/>
      <c r="P125" s="3"/>
    </row>
    <row r="126" customFormat="false" ht="15.75" hidden="false" customHeight="true" outlineLevel="0" collapsed="false">
      <c r="A126" s="8" t="n">
        <v>46163</v>
      </c>
      <c r="B126" s="7" t="s">
        <v>177</v>
      </c>
      <c r="C126" s="7" t="s">
        <v>164</v>
      </c>
      <c r="D126" s="7" t="s">
        <v>39</v>
      </c>
      <c r="E126" s="7" t="s">
        <v>160</v>
      </c>
      <c r="F126" s="7" t="n">
        <v>29</v>
      </c>
      <c r="G126" s="7" t="n">
        <v>531</v>
      </c>
      <c r="H126" s="10" t="n">
        <v>0.0546139359698682</v>
      </c>
      <c r="I126" s="7" t="n">
        <v>3.16</v>
      </c>
      <c r="J126" s="7" t="s">
        <v>178</v>
      </c>
      <c r="K126" s="7" t="s">
        <v>179</v>
      </c>
      <c r="L126" s="7" t="s">
        <v>178</v>
      </c>
      <c r="M126" s="3"/>
      <c r="N126" s="3"/>
      <c r="O126" s="3"/>
      <c r="P126" s="3"/>
    </row>
    <row r="127" customFormat="false" ht="15.75" hidden="false" customHeight="true" outlineLevel="0" collapsed="false">
      <c r="A127" s="8" t="n">
        <v>46163</v>
      </c>
      <c r="B127" s="7" t="s">
        <v>180</v>
      </c>
      <c r="C127" s="7" t="s">
        <v>157</v>
      </c>
      <c r="D127" s="7" t="s">
        <v>39</v>
      </c>
      <c r="E127" s="7" t="s">
        <v>160</v>
      </c>
      <c r="F127" s="7" t="n">
        <v>24</v>
      </c>
      <c r="G127" s="7" t="n">
        <v>872</v>
      </c>
      <c r="H127" s="10" t="n">
        <v>0.0275229357798165</v>
      </c>
      <c r="I127" s="7" t="n">
        <v>8.58</v>
      </c>
      <c r="J127" s="7" t="s">
        <v>181</v>
      </c>
      <c r="K127" s="7" t="s">
        <v>182</v>
      </c>
      <c r="L127" s="7" t="s">
        <v>183</v>
      </c>
      <c r="M127" s="3"/>
      <c r="N127" s="3"/>
      <c r="O127" s="3"/>
      <c r="P127" s="3"/>
    </row>
    <row r="128" customFormat="false" ht="15.75" hidden="false" customHeight="true" outlineLevel="0" collapsed="false">
      <c r="A128" s="8" t="n">
        <v>46163</v>
      </c>
      <c r="B128" s="7" t="s">
        <v>184</v>
      </c>
      <c r="C128" s="7" t="s">
        <v>161</v>
      </c>
      <c r="D128" s="7" t="s">
        <v>39</v>
      </c>
      <c r="E128" s="7" t="s">
        <v>160</v>
      </c>
      <c r="F128" s="7" t="n">
        <v>24</v>
      </c>
      <c r="G128" s="7" t="n">
        <v>871</v>
      </c>
      <c r="H128" s="10" t="n">
        <v>0.0275545350172216</v>
      </c>
      <c r="I128" s="7" t="n">
        <v>7.61</v>
      </c>
      <c r="J128" s="7" t="s">
        <v>181</v>
      </c>
      <c r="K128" s="7" t="s">
        <v>182</v>
      </c>
      <c r="L128" s="7" t="s">
        <v>185</v>
      </c>
      <c r="M128" s="3"/>
      <c r="N128" s="3"/>
      <c r="O128" s="3"/>
      <c r="P128" s="3"/>
    </row>
    <row r="129" customFormat="false" ht="15.75" hidden="false" customHeight="true" outlineLevel="0" collapsed="false">
      <c r="A129" s="8" t="n">
        <v>46163</v>
      </c>
      <c r="B129" s="7" t="s">
        <v>186</v>
      </c>
      <c r="C129" s="7" t="s">
        <v>162</v>
      </c>
      <c r="D129" s="7" t="s">
        <v>39</v>
      </c>
      <c r="E129" s="7" t="s">
        <v>160</v>
      </c>
      <c r="F129" s="7" t="n">
        <v>8</v>
      </c>
      <c r="G129" s="7" t="n">
        <v>616</v>
      </c>
      <c r="H129" s="10" t="n">
        <v>0.012987012987013</v>
      </c>
      <c r="I129" s="7" t="n">
        <v>12.26</v>
      </c>
      <c r="J129" s="7" t="s">
        <v>181</v>
      </c>
      <c r="K129" s="7" t="s">
        <v>187</v>
      </c>
      <c r="L129" s="7" t="s">
        <v>188</v>
      </c>
      <c r="M129" s="3"/>
      <c r="N129" s="3"/>
      <c r="O129" s="3"/>
      <c r="P129" s="3"/>
    </row>
    <row r="130" customFormat="false" ht="15.75" hidden="false" customHeight="true" outlineLevel="0" collapsed="false">
      <c r="A130" s="8" t="n">
        <v>46163</v>
      </c>
      <c r="B130" s="7" t="s">
        <v>189</v>
      </c>
      <c r="C130" s="7" t="s">
        <v>163</v>
      </c>
      <c r="D130" s="7" t="s">
        <v>39</v>
      </c>
      <c r="E130" s="7" t="s">
        <v>160</v>
      </c>
      <c r="F130" s="7" t="n">
        <v>7</v>
      </c>
      <c r="G130" s="7" t="n">
        <v>574</v>
      </c>
      <c r="H130" s="10" t="n">
        <v>0.0121951219512195</v>
      </c>
      <c r="I130" s="7" t="n">
        <v>12.69</v>
      </c>
      <c r="J130" s="7" t="s">
        <v>181</v>
      </c>
      <c r="K130" s="7" t="s">
        <v>187</v>
      </c>
      <c r="L130" s="7" t="s">
        <v>190</v>
      </c>
      <c r="M130" s="3"/>
      <c r="N130" s="3"/>
      <c r="O130" s="3"/>
      <c r="P130" s="3"/>
    </row>
    <row r="131" customFormat="false" ht="15.75" hidden="false" customHeight="true" outlineLevel="0" collapsed="false">
      <c r="A131" s="8" t="n">
        <v>46163</v>
      </c>
      <c r="B131" s="7" t="s">
        <v>191</v>
      </c>
      <c r="C131" s="7" t="s">
        <v>166</v>
      </c>
      <c r="D131" s="7" t="s">
        <v>39</v>
      </c>
      <c r="E131" s="7" t="s">
        <v>160</v>
      </c>
      <c r="F131" s="7" t="n">
        <v>27</v>
      </c>
      <c r="G131" s="7" t="n">
        <v>503</v>
      </c>
      <c r="H131" s="10" t="n">
        <v>0.0536779324055666</v>
      </c>
      <c r="I131" s="7" t="n">
        <v>3</v>
      </c>
      <c r="J131" s="7" t="s">
        <v>178</v>
      </c>
      <c r="K131" s="7" t="s">
        <v>192</v>
      </c>
      <c r="L131" s="7" t="s">
        <v>178</v>
      </c>
      <c r="M131" s="3"/>
      <c r="N131" s="3"/>
      <c r="O131" s="3"/>
      <c r="P131" s="3"/>
    </row>
    <row r="132" customFormat="false" ht="15.75" hidden="false" customHeight="true" outlineLevel="0" collapsed="false">
      <c r="A132" s="8" t="n">
        <v>46164</v>
      </c>
      <c r="B132" s="7" t="s">
        <v>177</v>
      </c>
      <c r="C132" s="7" t="s">
        <v>164</v>
      </c>
      <c r="D132" s="7" t="s">
        <v>39</v>
      </c>
      <c r="E132" s="7" t="s">
        <v>160</v>
      </c>
      <c r="F132" s="7" t="n">
        <v>22</v>
      </c>
      <c r="G132" s="7" t="n">
        <v>414</v>
      </c>
      <c r="H132" s="10" t="n">
        <v>0.0531400966183575</v>
      </c>
      <c r="I132" s="7" t="n">
        <v>3.32</v>
      </c>
      <c r="J132" s="7" t="s">
        <v>178</v>
      </c>
      <c r="K132" s="7" t="s">
        <v>179</v>
      </c>
      <c r="L132" s="7" t="s">
        <v>178</v>
      </c>
      <c r="M132" s="3"/>
      <c r="N132" s="3"/>
      <c r="O132" s="3"/>
      <c r="P132" s="3"/>
    </row>
    <row r="133" customFormat="false" ht="15.75" hidden="false" customHeight="true" outlineLevel="0" collapsed="false">
      <c r="A133" s="8" t="n">
        <v>46164</v>
      </c>
      <c r="B133" s="7" t="s">
        <v>180</v>
      </c>
      <c r="C133" s="7" t="s">
        <v>157</v>
      </c>
      <c r="D133" s="7" t="s">
        <v>39</v>
      </c>
      <c r="E133" s="7" t="s">
        <v>160</v>
      </c>
      <c r="F133" s="7" t="n">
        <v>21</v>
      </c>
      <c r="G133" s="7" t="n">
        <v>784</v>
      </c>
      <c r="H133" s="10" t="n">
        <v>0.0267857142857143</v>
      </c>
      <c r="I133" s="7" t="n">
        <v>8.4</v>
      </c>
      <c r="J133" s="7" t="s">
        <v>181</v>
      </c>
      <c r="K133" s="7" t="s">
        <v>182</v>
      </c>
      <c r="L133" s="7" t="s">
        <v>183</v>
      </c>
      <c r="M133" s="3"/>
      <c r="N133" s="3"/>
      <c r="O133" s="3"/>
      <c r="P133" s="3"/>
    </row>
    <row r="134" customFormat="false" ht="15.75" hidden="false" customHeight="true" outlineLevel="0" collapsed="false">
      <c r="A134" s="8" t="n">
        <v>46164</v>
      </c>
      <c r="B134" s="7" t="s">
        <v>184</v>
      </c>
      <c r="C134" s="7" t="s">
        <v>161</v>
      </c>
      <c r="D134" s="7" t="s">
        <v>39</v>
      </c>
      <c r="E134" s="7" t="s">
        <v>160</v>
      </c>
      <c r="F134" s="7" t="n">
        <v>24</v>
      </c>
      <c r="G134" s="7" t="n">
        <v>880</v>
      </c>
      <c r="H134" s="10" t="n">
        <v>0.0272727272727273</v>
      </c>
      <c r="I134" s="7" t="n">
        <v>7.49</v>
      </c>
      <c r="J134" s="7" t="s">
        <v>181</v>
      </c>
      <c r="K134" s="7" t="s">
        <v>182</v>
      </c>
      <c r="L134" s="7" t="s">
        <v>185</v>
      </c>
      <c r="M134" s="3"/>
      <c r="N134" s="3"/>
      <c r="O134" s="3"/>
      <c r="P134" s="3"/>
    </row>
    <row r="135" customFormat="false" ht="15.75" hidden="false" customHeight="true" outlineLevel="0" collapsed="false">
      <c r="A135" s="8" t="n">
        <v>46164</v>
      </c>
      <c r="B135" s="7" t="s">
        <v>186</v>
      </c>
      <c r="C135" s="7" t="s">
        <v>162</v>
      </c>
      <c r="D135" s="7" t="s">
        <v>39</v>
      </c>
      <c r="E135" s="7" t="s">
        <v>160</v>
      </c>
      <c r="F135" s="7" t="n">
        <v>8</v>
      </c>
      <c r="G135" s="7" t="n">
        <v>620</v>
      </c>
      <c r="H135" s="10" t="n">
        <v>0.0129032258064516</v>
      </c>
      <c r="I135" s="7" t="n">
        <v>13.07</v>
      </c>
      <c r="J135" s="7" t="s">
        <v>181</v>
      </c>
      <c r="K135" s="7" t="s">
        <v>187</v>
      </c>
      <c r="L135" s="7" t="s">
        <v>188</v>
      </c>
      <c r="M135" s="3"/>
      <c r="N135" s="3"/>
      <c r="O135" s="3"/>
      <c r="P135" s="3"/>
    </row>
    <row r="136" customFormat="false" ht="15.75" hidden="false" customHeight="true" outlineLevel="0" collapsed="false">
      <c r="A136" s="8" t="n">
        <v>46164</v>
      </c>
      <c r="B136" s="7" t="s">
        <v>189</v>
      </c>
      <c r="C136" s="7" t="s">
        <v>163</v>
      </c>
      <c r="D136" s="7" t="s">
        <v>39</v>
      </c>
      <c r="E136" s="7" t="s">
        <v>160</v>
      </c>
      <c r="F136" s="7" t="n">
        <v>8</v>
      </c>
      <c r="G136" s="7" t="n">
        <v>639</v>
      </c>
      <c r="H136" s="10" t="n">
        <v>0.0125195618153365</v>
      </c>
      <c r="I136" s="7" t="n">
        <v>11.96</v>
      </c>
      <c r="J136" s="7" t="s">
        <v>181</v>
      </c>
      <c r="K136" s="7" t="s">
        <v>187</v>
      </c>
      <c r="L136" s="7" t="s">
        <v>190</v>
      </c>
      <c r="M136" s="3"/>
      <c r="N136" s="3"/>
      <c r="O136" s="3"/>
      <c r="P136" s="3"/>
    </row>
    <row r="137" customFormat="false" ht="15.75" hidden="false" customHeight="true" outlineLevel="0" collapsed="false">
      <c r="A137" s="8" t="n">
        <v>46164</v>
      </c>
      <c r="B137" s="7" t="s">
        <v>191</v>
      </c>
      <c r="C137" s="7" t="s">
        <v>166</v>
      </c>
      <c r="D137" s="7" t="s">
        <v>39</v>
      </c>
      <c r="E137" s="7" t="s">
        <v>160</v>
      </c>
      <c r="F137" s="7" t="n">
        <v>88</v>
      </c>
      <c r="G137" s="7" t="n">
        <v>556</v>
      </c>
      <c r="H137" s="10" t="n">
        <v>0.158273381294964</v>
      </c>
      <c r="I137" s="7" t="n">
        <v>2.34</v>
      </c>
      <c r="J137" s="7" t="s">
        <v>178</v>
      </c>
      <c r="K137" s="7" t="s">
        <v>192</v>
      </c>
      <c r="L137" s="7" t="s">
        <v>178</v>
      </c>
      <c r="M137" s="3"/>
      <c r="N137" s="3"/>
      <c r="O137" s="3"/>
      <c r="P137" s="3"/>
    </row>
    <row r="138" customFormat="false" ht="15.75" hidden="false" customHeight="true" outlineLevel="0" collapsed="false">
      <c r="A138" s="8" t="n">
        <v>46165</v>
      </c>
      <c r="B138" s="7" t="s">
        <v>177</v>
      </c>
      <c r="C138" s="7" t="s">
        <v>164</v>
      </c>
      <c r="D138" s="7" t="s">
        <v>39</v>
      </c>
      <c r="E138" s="7" t="s">
        <v>160</v>
      </c>
      <c r="F138" s="7" t="n">
        <v>69</v>
      </c>
      <c r="G138" s="7" t="n">
        <v>436</v>
      </c>
      <c r="H138" s="10" t="n">
        <v>0.158256880733945</v>
      </c>
      <c r="I138" s="7" t="n">
        <v>2.25</v>
      </c>
      <c r="J138" s="7" t="s">
        <v>178</v>
      </c>
      <c r="K138" s="7" t="s">
        <v>179</v>
      </c>
      <c r="L138" s="7" t="s">
        <v>178</v>
      </c>
      <c r="M138" s="3"/>
      <c r="N138" s="3"/>
      <c r="O138" s="3"/>
      <c r="P138" s="3"/>
    </row>
    <row r="139" customFormat="false" ht="15.75" hidden="false" customHeight="true" outlineLevel="0" collapsed="false">
      <c r="A139" s="8" t="n">
        <v>46165</v>
      </c>
      <c r="B139" s="7" t="s">
        <v>180</v>
      </c>
      <c r="C139" s="7" t="s">
        <v>157</v>
      </c>
      <c r="D139" s="7" t="s">
        <v>39</v>
      </c>
      <c r="E139" s="7" t="s">
        <v>160</v>
      </c>
      <c r="F139" s="7" t="n">
        <v>24</v>
      </c>
      <c r="G139" s="7" t="n">
        <v>867</v>
      </c>
      <c r="H139" s="10" t="n">
        <v>0.027681660899654</v>
      </c>
      <c r="I139" s="7" t="n">
        <v>7.62</v>
      </c>
      <c r="J139" s="7" t="s">
        <v>181</v>
      </c>
      <c r="K139" s="7" t="s">
        <v>182</v>
      </c>
      <c r="L139" s="7" t="s">
        <v>183</v>
      </c>
      <c r="M139" s="3"/>
      <c r="N139" s="3"/>
      <c r="O139" s="3"/>
      <c r="P139" s="3"/>
    </row>
    <row r="140" customFormat="false" ht="15.75" hidden="false" customHeight="true" outlineLevel="0" collapsed="false">
      <c r="A140" s="8" t="n">
        <v>46165</v>
      </c>
      <c r="B140" s="7" t="s">
        <v>184</v>
      </c>
      <c r="C140" s="7" t="s">
        <v>161</v>
      </c>
      <c r="D140" s="7" t="s">
        <v>39</v>
      </c>
      <c r="E140" s="7" t="s">
        <v>165</v>
      </c>
      <c r="F140" s="7" t="n">
        <v>23</v>
      </c>
      <c r="G140" s="7" t="n">
        <v>847</v>
      </c>
      <c r="H140" s="10" t="n">
        <v>0.0271546635182999</v>
      </c>
      <c r="I140" s="7" t="n">
        <v>7.61</v>
      </c>
      <c r="J140" s="7" t="s">
        <v>181</v>
      </c>
      <c r="K140" s="7" t="s">
        <v>182</v>
      </c>
      <c r="L140" s="7" t="s">
        <v>185</v>
      </c>
      <c r="M140" s="3"/>
      <c r="N140" s="3"/>
      <c r="O140" s="3"/>
      <c r="P140" s="3"/>
    </row>
    <row r="141" customFormat="false" ht="15.75" hidden="false" customHeight="true" outlineLevel="0" collapsed="false">
      <c r="A141" s="8" t="n">
        <v>46165</v>
      </c>
      <c r="B141" s="7" t="s">
        <v>186</v>
      </c>
      <c r="C141" s="7" t="s">
        <v>162</v>
      </c>
      <c r="D141" s="7" t="s">
        <v>39</v>
      </c>
      <c r="E141" s="7" t="s">
        <v>160</v>
      </c>
      <c r="F141" s="7" t="n">
        <v>7</v>
      </c>
      <c r="G141" s="7" t="n">
        <v>606</v>
      </c>
      <c r="H141" s="10" t="n">
        <v>0.0115511551155116</v>
      </c>
      <c r="I141" s="7" t="n">
        <v>12.93</v>
      </c>
      <c r="J141" s="7" t="s">
        <v>181</v>
      </c>
      <c r="K141" s="7" t="s">
        <v>187</v>
      </c>
      <c r="L141" s="7" t="s">
        <v>188</v>
      </c>
      <c r="M141" s="3"/>
      <c r="N141" s="3"/>
      <c r="O141" s="3"/>
      <c r="P141" s="3"/>
    </row>
    <row r="142" customFormat="false" ht="15.75" hidden="false" customHeight="true" outlineLevel="0" collapsed="false">
      <c r="A142" s="8" t="n">
        <v>46165</v>
      </c>
      <c r="B142" s="7" t="s">
        <v>189</v>
      </c>
      <c r="C142" s="7" t="s">
        <v>163</v>
      </c>
      <c r="D142" s="7" t="s">
        <v>39</v>
      </c>
      <c r="E142" s="7" t="s">
        <v>160</v>
      </c>
      <c r="F142" s="7" t="n">
        <v>7</v>
      </c>
      <c r="G142" s="7" t="n">
        <v>554</v>
      </c>
      <c r="H142" s="10" t="n">
        <v>0.0126353790613718</v>
      </c>
      <c r="I142" s="7" t="n">
        <v>12.11</v>
      </c>
      <c r="J142" s="7" t="s">
        <v>181</v>
      </c>
      <c r="K142" s="7" t="s">
        <v>187</v>
      </c>
      <c r="L142" s="7" t="s">
        <v>190</v>
      </c>
      <c r="M142" s="3"/>
      <c r="N142" s="3"/>
      <c r="O142" s="3"/>
      <c r="P142" s="3"/>
    </row>
    <row r="143" customFormat="false" ht="15.75" hidden="false" customHeight="true" outlineLevel="0" collapsed="false">
      <c r="A143" s="8" t="n">
        <v>46165</v>
      </c>
      <c r="B143" s="7" t="s">
        <v>191</v>
      </c>
      <c r="C143" s="7" t="s">
        <v>166</v>
      </c>
      <c r="D143" s="7" t="s">
        <v>39</v>
      </c>
      <c r="E143" s="7" t="s">
        <v>160</v>
      </c>
      <c r="F143" s="7" t="n">
        <v>29</v>
      </c>
      <c r="G143" s="7" t="n">
        <v>534</v>
      </c>
      <c r="H143" s="10" t="n">
        <v>0.0543071161048689</v>
      </c>
      <c r="I143" s="7" t="n">
        <v>3.23</v>
      </c>
      <c r="J143" s="7" t="s">
        <v>178</v>
      </c>
      <c r="K143" s="7" t="s">
        <v>192</v>
      </c>
      <c r="L143" s="7" t="s">
        <v>178</v>
      </c>
      <c r="M143" s="3"/>
      <c r="N143" s="3"/>
      <c r="O143" s="3"/>
      <c r="P143" s="3"/>
    </row>
    <row r="144" customFormat="false" ht="15.75" hidden="false" customHeight="true" outlineLevel="0" collapsed="false">
      <c r="A144" s="8" t="n">
        <v>46166</v>
      </c>
      <c r="B144" s="7" t="s">
        <v>177</v>
      </c>
      <c r="C144" s="7" t="s">
        <v>164</v>
      </c>
      <c r="D144" s="7" t="s">
        <v>39</v>
      </c>
      <c r="E144" s="7" t="s">
        <v>160</v>
      </c>
      <c r="F144" s="7" t="n">
        <v>24</v>
      </c>
      <c r="G144" s="7" t="n">
        <v>439</v>
      </c>
      <c r="H144" s="10" t="n">
        <v>0.0546697038724374</v>
      </c>
      <c r="I144" s="7" t="n">
        <v>3.27</v>
      </c>
      <c r="J144" s="7" t="s">
        <v>178</v>
      </c>
      <c r="K144" s="7" t="s">
        <v>179</v>
      </c>
      <c r="L144" s="7" t="s">
        <v>178</v>
      </c>
      <c r="M144" s="3"/>
      <c r="N144" s="3"/>
      <c r="O144" s="3"/>
      <c r="P144" s="3"/>
    </row>
    <row r="145" customFormat="false" ht="15.75" hidden="false" customHeight="true" outlineLevel="0" collapsed="false">
      <c r="A145" s="8" t="n">
        <v>46166</v>
      </c>
      <c r="B145" s="7" t="s">
        <v>180</v>
      </c>
      <c r="C145" s="7" t="s">
        <v>157</v>
      </c>
      <c r="D145" s="7" t="s">
        <v>39</v>
      </c>
      <c r="E145" s="7" t="s">
        <v>160</v>
      </c>
      <c r="F145" s="7" t="n">
        <v>22</v>
      </c>
      <c r="G145" s="7" t="n">
        <v>816</v>
      </c>
      <c r="H145" s="10" t="n">
        <v>0.0269607843137255</v>
      </c>
      <c r="I145" s="7" t="n">
        <v>8.36</v>
      </c>
      <c r="J145" s="7" t="s">
        <v>181</v>
      </c>
      <c r="K145" s="7" t="s">
        <v>182</v>
      </c>
      <c r="L145" s="7" t="s">
        <v>183</v>
      </c>
      <c r="M145" s="3"/>
      <c r="N145" s="3"/>
      <c r="O145" s="3"/>
      <c r="P145" s="3"/>
    </row>
    <row r="146" customFormat="false" ht="15.75" hidden="false" customHeight="true" outlineLevel="0" collapsed="false">
      <c r="A146" s="8" t="n">
        <v>46166</v>
      </c>
      <c r="B146" s="7" t="s">
        <v>184</v>
      </c>
      <c r="C146" s="7" t="s">
        <v>161</v>
      </c>
      <c r="D146" s="7" t="s">
        <v>39</v>
      </c>
      <c r="E146" s="7" t="s">
        <v>165</v>
      </c>
      <c r="F146" s="7" t="n">
        <v>22</v>
      </c>
      <c r="G146" s="7" t="n">
        <v>796</v>
      </c>
      <c r="H146" s="10" t="n">
        <v>0.0276381909547739</v>
      </c>
      <c r="I146" s="7" t="n">
        <v>8.25</v>
      </c>
      <c r="J146" s="7" t="s">
        <v>181</v>
      </c>
      <c r="K146" s="7" t="s">
        <v>182</v>
      </c>
      <c r="L146" s="7" t="s">
        <v>185</v>
      </c>
      <c r="M146" s="3"/>
      <c r="N146" s="3"/>
      <c r="O146" s="3"/>
      <c r="P146" s="3"/>
    </row>
    <row r="147" customFormat="false" ht="15.75" hidden="false" customHeight="true" outlineLevel="0" collapsed="false">
      <c r="A147" s="8" t="n">
        <v>46166</v>
      </c>
      <c r="B147" s="7" t="s">
        <v>186</v>
      </c>
      <c r="C147" s="7" t="s">
        <v>162</v>
      </c>
      <c r="D147" s="7" t="s">
        <v>39</v>
      </c>
      <c r="E147" s="7" t="s">
        <v>160</v>
      </c>
      <c r="F147" s="7" t="n">
        <v>7</v>
      </c>
      <c r="G147" s="7" t="n">
        <v>582</v>
      </c>
      <c r="H147" s="10" t="n">
        <v>0.0120274914089347</v>
      </c>
      <c r="I147" s="7" t="n">
        <v>11.95</v>
      </c>
      <c r="J147" s="7" t="s">
        <v>181</v>
      </c>
      <c r="K147" s="7" t="s">
        <v>187</v>
      </c>
      <c r="L147" s="7" t="s">
        <v>188</v>
      </c>
      <c r="M147" s="3"/>
      <c r="N147" s="3"/>
      <c r="O147" s="3"/>
      <c r="P147" s="3"/>
    </row>
    <row r="148" customFormat="false" ht="15.75" hidden="false" customHeight="true" outlineLevel="0" collapsed="false">
      <c r="A148" s="8" t="n">
        <v>46166</v>
      </c>
      <c r="B148" s="7" t="s">
        <v>189</v>
      </c>
      <c r="C148" s="7" t="s">
        <v>163</v>
      </c>
      <c r="D148" s="7" t="s">
        <v>39</v>
      </c>
      <c r="E148" s="7" t="s">
        <v>160</v>
      </c>
      <c r="F148" s="7" t="n">
        <v>7</v>
      </c>
      <c r="G148" s="7" t="n">
        <v>559</v>
      </c>
      <c r="H148" s="10" t="n">
        <v>0.0125223613595707</v>
      </c>
      <c r="I148" s="7" t="n">
        <v>12.55</v>
      </c>
      <c r="J148" s="7" t="s">
        <v>181</v>
      </c>
      <c r="K148" s="7" t="s">
        <v>187</v>
      </c>
      <c r="L148" s="7" t="s">
        <v>190</v>
      </c>
      <c r="M148" s="3"/>
      <c r="N148" s="3"/>
      <c r="O148" s="3"/>
      <c r="P148" s="3"/>
    </row>
    <row r="149" customFormat="false" ht="15.75" hidden="false" customHeight="true" outlineLevel="0" collapsed="false">
      <c r="A149" s="8" t="n">
        <v>46166</v>
      </c>
      <c r="B149" s="7" t="s">
        <v>191</v>
      </c>
      <c r="C149" s="7" t="s">
        <v>166</v>
      </c>
      <c r="D149" s="7" t="s">
        <v>39</v>
      </c>
      <c r="E149" s="7" t="s">
        <v>160</v>
      </c>
      <c r="F149" s="7" t="n">
        <v>75</v>
      </c>
      <c r="G149" s="7" t="n">
        <v>473</v>
      </c>
      <c r="H149" s="10" t="n">
        <v>0.158562367864693</v>
      </c>
      <c r="I149" s="7" t="n">
        <v>2.6</v>
      </c>
      <c r="J149" s="7" t="s">
        <v>178</v>
      </c>
      <c r="K149" s="7" t="s">
        <v>192</v>
      </c>
      <c r="L149" s="7" t="s">
        <v>178</v>
      </c>
      <c r="M149" s="3"/>
      <c r="N149" s="3"/>
      <c r="O149" s="3"/>
      <c r="P149" s="3"/>
    </row>
    <row r="150" customFormat="false" ht="15.75" hidden="false" customHeight="true" outlineLevel="0" collapsed="false">
      <c r="A150" s="8" t="n">
        <v>46167</v>
      </c>
      <c r="B150" s="7" t="s">
        <v>177</v>
      </c>
      <c r="C150" s="7" t="s">
        <v>164</v>
      </c>
      <c r="D150" s="7" t="s">
        <v>39</v>
      </c>
      <c r="E150" s="7" t="s">
        <v>160</v>
      </c>
      <c r="F150" s="7" t="n">
        <v>74</v>
      </c>
      <c r="G150" s="7" t="n">
        <v>465</v>
      </c>
      <c r="H150" s="10" t="n">
        <v>0.159139784946237</v>
      </c>
      <c r="I150" s="7" t="n">
        <v>2.88</v>
      </c>
      <c r="J150" s="7" t="s">
        <v>178</v>
      </c>
      <c r="K150" s="7" t="s">
        <v>179</v>
      </c>
      <c r="L150" s="7" t="s">
        <v>178</v>
      </c>
      <c r="M150" s="3"/>
      <c r="N150" s="3"/>
      <c r="O150" s="3"/>
      <c r="P150" s="3"/>
    </row>
    <row r="151" customFormat="false" ht="15.75" hidden="false" customHeight="true" outlineLevel="0" collapsed="false">
      <c r="A151" s="8" t="n">
        <v>46167</v>
      </c>
      <c r="B151" s="7" t="s">
        <v>180</v>
      </c>
      <c r="C151" s="7" t="s">
        <v>157</v>
      </c>
      <c r="D151" s="7" t="s">
        <v>39</v>
      </c>
      <c r="E151" s="7" t="s">
        <v>165</v>
      </c>
      <c r="F151" s="7" t="n">
        <v>22</v>
      </c>
      <c r="G151" s="7" t="n">
        <v>794</v>
      </c>
      <c r="H151" s="10" t="n">
        <v>0.0277078085642317</v>
      </c>
      <c r="I151" s="7" t="n">
        <v>8.51</v>
      </c>
      <c r="J151" s="7" t="s">
        <v>181</v>
      </c>
      <c r="K151" s="7" t="s">
        <v>182</v>
      </c>
      <c r="L151" s="7" t="s">
        <v>183</v>
      </c>
      <c r="M151" s="3"/>
      <c r="N151" s="3"/>
      <c r="O151" s="3"/>
      <c r="P151" s="3"/>
    </row>
    <row r="152" customFormat="false" ht="15.75" hidden="false" customHeight="true" outlineLevel="0" collapsed="false">
      <c r="A152" s="8" t="n">
        <v>46167</v>
      </c>
      <c r="B152" s="7" t="s">
        <v>184</v>
      </c>
      <c r="C152" s="7" t="s">
        <v>161</v>
      </c>
      <c r="D152" s="7" t="s">
        <v>39</v>
      </c>
      <c r="E152" s="7" t="s">
        <v>160</v>
      </c>
      <c r="F152" s="7" t="n">
        <v>21</v>
      </c>
      <c r="G152" s="7" t="n">
        <v>760</v>
      </c>
      <c r="H152" s="10" t="n">
        <v>0.0276315789473684</v>
      </c>
      <c r="I152" s="7" t="n">
        <v>8.62</v>
      </c>
      <c r="J152" s="7" t="s">
        <v>181</v>
      </c>
      <c r="K152" s="7" t="s">
        <v>182</v>
      </c>
      <c r="L152" s="7" t="s">
        <v>185</v>
      </c>
      <c r="M152" s="3"/>
      <c r="N152" s="3"/>
      <c r="O152" s="3"/>
      <c r="P152" s="3"/>
    </row>
    <row r="153" customFormat="false" ht="15.75" hidden="false" customHeight="true" outlineLevel="0" collapsed="false">
      <c r="A153" s="8" t="n">
        <v>46167</v>
      </c>
      <c r="B153" s="7" t="s">
        <v>186</v>
      </c>
      <c r="C153" s="7" t="s">
        <v>162</v>
      </c>
      <c r="D153" s="7" t="s">
        <v>39</v>
      </c>
      <c r="E153" s="7" t="s">
        <v>160</v>
      </c>
      <c r="F153" s="7" t="n">
        <v>8</v>
      </c>
      <c r="G153" s="7" t="n">
        <v>654</v>
      </c>
      <c r="H153" s="10" t="n">
        <v>0.0122324159021407</v>
      </c>
      <c r="I153" s="7" t="n">
        <v>13</v>
      </c>
      <c r="J153" s="7" t="s">
        <v>181</v>
      </c>
      <c r="K153" s="7" t="s">
        <v>187</v>
      </c>
      <c r="L153" s="7" t="s">
        <v>188</v>
      </c>
      <c r="M153" s="3"/>
      <c r="N153" s="3"/>
      <c r="O153" s="3"/>
      <c r="P153" s="3"/>
    </row>
    <row r="154" customFormat="false" ht="15.75" hidden="false" customHeight="true" outlineLevel="0" collapsed="false">
      <c r="A154" s="8" t="n">
        <v>46167</v>
      </c>
      <c r="B154" s="7" t="s">
        <v>189</v>
      </c>
      <c r="C154" s="7" t="s">
        <v>163</v>
      </c>
      <c r="D154" s="7" t="s">
        <v>39</v>
      </c>
      <c r="E154" s="7" t="s">
        <v>160</v>
      </c>
      <c r="F154" s="7" t="n">
        <v>8</v>
      </c>
      <c r="G154" s="7" t="n">
        <v>654</v>
      </c>
      <c r="H154" s="10" t="n">
        <v>0.0122324159021407</v>
      </c>
      <c r="I154" s="7" t="n">
        <v>12.92</v>
      </c>
      <c r="J154" s="7" t="s">
        <v>181</v>
      </c>
      <c r="K154" s="7" t="s">
        <v>187</v>
      </c>
      <c r="L154" s="7" t="s">
        <v>190</v>
      </c>
      <c r="M154" s="3"/>
      <c r="N154" s="3"/>
      <c r="O154" s="3"/>
      <c r="P154" s="3"/>
    </row>
    <row r="155" customFormat="false" ht="15.75" hidden="false" customHeight="true" outlineLevel="0" collapsed="false">
      <c r="A155" s="8" t="n">
        <v>46167</v>
      </c>
      <c r="B155" s="7" t="s">
        <v>191</v>
      </c>
      <c r="C155" s="7" t="s">
        <v>166</v>
      </c>
      <c r="D155" s="7" t="s">
        <v>39</v>
      </c>
      <c r="E155" s="7" t="s">
        <v>160</v>
      </c>
      <c r="F155" s="7" t="n">
        <v>30</v>
      </c>
      <c r="G155" s="7" t="n">
        <v>548</v>
      </c>
      <c r="H155" s="10" t="n">
        <v>0.0547445255474453</v>
      </c>
      <c r="I155" s="7" t="n">
        <v>3.29</v>
      </c>
      <c r="J155" s="7" t="s">
        <v>178</v>
      </c>
      <c r="K155" s="7" t="s">
        <v>192</v>
      </c>
      <c r="L155" s="7" t="s">
        <v>178</v>
      </c>
      <c r="M155" s="3"/>
      <c r="N155" s="3"/>
      <c r="O155" s="3"/>
      <c r="P155" s="3"/>
    </row>
    <row r="156" customFormat="false" ht="15.75" hidden="false" customHeight="true" outlineLevel="0" collapsed="false">
      <c r="A156" s="8" t="n">
        <v>46168</v>
      </c>
      <c r="B156" s="7" t="s">
        <v>177</v>
      </c>
      <c r="C156" s="7" t="s">
        <v>164</v>
      </c>
      <c r="D156" s="7" t="s">
        <v>39</v>
      </c>
      <c r="E156" s="7" t="s">
        <v>165</v>
      </c>
      <c r="F156" s="7" t="n">
        <v>65</v>
      </c>
      <c r="G156" s="7" t="n">
        <v>411</v>
      </c>
      <c r="H156" s="10" t="n">
        <v>0.158150851581509</v>
      </c>
      <c r="I156" s="7" t="n">
        <v>2.8</v>
      </c>
      <c r="J156" s="7" t="s">
        <v>178</v>
      </c>
      <c r="K156" s="7" t="s">
        <v>179</v>
      </c>
      <c r="L156" s="7" t="s">
        <v>178</v>
      </c>
      <c r="M156" s="3"/>
      <c r="N156" s="3"/>
      <c r="O156" s="3"/>
      <c r="P156" s="3"/>
    </row>
    <row r="157" customFormat="false" ht="15.75" hidden="false" customHeight="true" outlineLevel="0" collapsed="false">
      <c r="A157" s="8" t="n">
        <v>46168</v>
      </c>
      <c r="B157" s="7" t="s">
        <v>180</v>
      </c>
      <c r="C157" s="7" t="s">
        <v>157</v>
      </c>
      <c r="D157" s="7" t="s">
        <v>39</v>
      </c>
      <c r="E157" s="7" t="s">
        <v>160</v>
      </c>
      <c r="F157" s="7" t="n">
        <v>24</v>
      </c>
      <c r="G157" s="7" t="n">
        <v>860</v>
      </c>
      <c r="H157" s="10" t="n">
        <v>0.0279069767441861</v>
      </c>
      <c r="I157" s="7" t="n">
        <v>7.73</v>
      </c>
      <c r="J157" s="7" t="s">
        <v>181</v>
      </c>
      <c r="K157" s="7" t="s">
        <v>182</v>
      </c>
      <c r="L157" s="7" t="s">
        <v>183</v>
      </c>
      <c r="M157" s="3"/>
      <c r="N157" s="3"/>
      <c r="O157" s="3"/>
      <c r="P157" s="3"/>
    </row>
    <row r="158" customFormat="false" ht="15.75" hidden="false" customHeight="true" outlineLevel="0" collapsed="false">
      <c r="A158" s="8" t="n">
        <v>46168</v>
      </c>
      <c r="B158" s="7" t="s">
        <v>184</v>
      </c>
      <c r="C158" s="7" t="s">
        <v>161</v>
      </c>
      <c r="D158" s="7" t="s">
        <v>39</v>
      </c>
      <c r="E158" s="7" t="s">
        <v>160</v>
      </c>
      <c r="F158" s="7" t="n">
        <v>22</v>
      </c>
      <c r="G158" s="7" t="n">
        <v>816</v>
      </c>
      <c r="H158" s="10" t="n">
        <v>0.0269607843137255</v>
      </c>
      <c r="I158" s="7" t="n">
        <v>7.88</v>
      </c>
      <c r="J158" s="7" t="s">
        <v>181</v>
      </c>
      <c r="K158" s="7" t="s">
        <v>182</v>
      </c>
      <c r="L158" s="7" t="s">
        <v>185</v>
      </c>
      <c r="M158" s="3"/>
      <c r="N158" s="3"/>
      <c r="O158" s="3"/>
      <c r="P158" s="3"/>
    </row>
    <row r="159" customFormat="false" ht="15.75" hidden="false" customHeight="true" outlineLevel="0" collapsed="false">
      <c r="A159" s="8" t="n">
        <v>46168</v>
      </c>
      <c r="B159" s="7" t="s">
        <v>186</v>
      </c>
      <c r="C159" s="7" t="s">
        <v>162</v>
      </c>
      <c r="D159" s="7" t="s">
        <v>39</v>
      </c>
      <c r="E159" s="7" t="s">
        <v>160</v>
      </c>
      <c r="F159" s="7" t="n">
        <v>8</v>
      </c>
      <c r="G159" s="7" t="n">
        <v>644</v>
      </c>
      <c r="H159" s="10" t="n">
        <v>0.0124223602484472</v>
      </c>
      <c r="I159" s="7" t="n">
        <v>12.18</v>
      </c>
      <c r="J159" s="7" t="s">
        <v>181</v>
      </c>
      <c r="K159" s="7" t="s">
        <v>187</v>
      </c>
      <c r="L159" s="7" t="s">
        <v>188</v>
      </c>
      <c r="M159" s="3"/>
      <c r="N159" s="3"/>
      <c r="O159" s="3"/>
      <c r="P159" s="3"/>
    </row>
    <row r="160" customFormat="false" ht="15.75" hidden="false" customHeight="true" outlineLevel="0" collapsed="false">
      <c r="A160" s="8" t="n">
        <v>46168</v>
      </c>
      <c r="B160" s="7" t="s">
        <v>189</v>
      </c>
      <c r="C160" s="7" t="s">
        <v>163</v>
      </c>
      <c r="D160" s="7" t="s">
        <v>39</v>
      </c>
      <c r="E160" s="7" t="s">
        <v>160</v>
      </c>
      <c r="F160" s="7" t="n">
        <v>7</v>
      </c>
      <c r="G160" s="7" t="n">
        <v>574</v>
      </c>
      <c r="H160" s="10" t="n">
        <v>0.0121951219512195</v>
      </c>
      <c r="I160" s="7" t="n">
        <v>11.91</v>
      </c>
      <c r="J160" s="7" t="s">
        <v>181</v>
      </c>
      <c r="K160" s="7" t="s">
        <v>187</v>
      </c>
      <c r="L160" s="7" t="s">
        <v>190</v>
      </c>
      <c r="M160" s="3"/>
      <c r="N160" s="3"/>
      <c r="O160" s="3"/>
      <c r="P160" s="3"/>
    </row>
    <row r="161" customFormat="false" ht="15.75" hidden="false" customHeight="true" outlineLevel="0" collapsed="false">
      <c r="A161" s="8" t="n">
        <v>46168</v>
      </c>
      <c r="B161" s="7" t="s">
        <v>191</v>
      </c>
      <c r="C161" s="7" t="s">
        <v>166</v>
      </c>
      <c r="D161" s="7" t="s">
        <v>39</v>
      </c>
      <c r="E161" s="7" t="s">
        <v>160</v>
      </c>
      <c r="F161" s="7" t="n">
        <v>29</v>
      </c>
      <c r="G161" s="7" t="n">
        <v>545</v>
      </c>
      <c r="H161" s="10" t="n">
        <v>0.0532110091743119</v>
      </c>
      <c r="I161" s="7" t="n">
        <v>3.52</v>
      </c>
      <c r="J161" s="7" t="s">
        <v>178</v>
      </c>
      <c r="K161" s="7" t="s">
        <v>192</v>
      </c>
      <c r="L161" s="7" t="s">
        <v>178</v>
      </c>
      <c r="M161" s="3"/>
      <c r="N161" s="3"/>
      <c r="O161" s="3"/>
      <c r="P161" s="3"/>
    </row>
    <row r="162" customFormat="false" ht="15.75" hidden="false" customHeight="true" outlineLevel="0" collapsed="false">
      <c r="A162" s="8" t="n">
        <v>46169</v>
      </c>
      <c r="B162" s="7" t="s">
        <v>177</v>
      </c>
      <c r="C162" s="7" t="s">
        <v>164</v>
      </c>
      <c r="D162" s="7" t="s">
        <v>39</v>
      </c>
      <c r="E162" s="7" t="s">
        <v>160</v>
      </c>
      <c r="F162" s="7" t="n">
        <v>66</v>
      </c>
      <c r="G162" s="7" t="n">
        <v>416</v>
      </c>
      <c r="H162" s="10" t="n">
        <v>0.158653846153846</v>
      </c>
      <c r="I162" s="7" t="n">
        <v>2.62</v>
      </c>
      <c r="J162" s="7" t="s">
        <v>178</v>
      </c>
      <c r="K162" s="7" t="s">
        <v>179</v>
      </c>
      <c r="L162" s="7" t="s">
        <v>178</v>
      </c>
      <c r="M162" s="3"/>
      <c r="N162" s="3"/>
      <c r="O162" s="3"/>
      <c r="P162" s="3"/>
    </row>
    <row r="163" customFormat="false" ht="15.75" hidden="false" customHeight="true" outlineLevel="0" collapsed="false">
      <c r="A163" s="8" t="n">
        <v>46169</v>
      </c>
      <c r="B163" s="7" t="s">
        <v>180</v>
      </c>
      <c r="C163" s="7" t="s">
        <v>157</v>
      </c>
      <c r="D163" s="7" t="s">
        <v>39</v>
      </c>
      <c r="E163" s="7" t="s">
        <v>160</v>
      </c>
      <c r="F163" s="7" t="n">
        <v>24</v>
      </c>
      <c r="G163" s="7" t="n">
        <v>866</v>
      </c>
      <c r="H163" s="10" t="n">
        <v>0.0277136258660508</v>
      </c>
      <c r="I163" s="7" t="n">
        <v>8.75</v>
      </c>
      <c r="J163" s="7" t="s">
        <v>181</v>
      </c>
      <c r="K163" s="7" t="s">
        <v>182</v>
      </c>
      <c r="L163" s="7" t="s">
        <v>183</v>
      </c>
      <c r="M163" s="3"/>
      <c r="N163" s="3"/>
      <c r="O163" s="3"/>
      <c r="P163" s="3"/>
    </row>
    <row r="164" customFormat="false" ht="15.75" hidden="false" customHeight="true" outlineLevel="0" collapsed="false">
      <c r="A164" s="8" t="n">
        <v>46169</v>
      </c>
      <c r="B164" s="7" t="s">
        <v>184</v>
      </c>
      <c r="C164" s="7" t="s">
        <v>161</v>
      </c>
      <c r="D164" s="7" t="s">
        <v>39</v>
      </c>
      <c r="E164" s="7" t="s">
        <v>165</v>
      </c>
      <c r="F164" s="7" t="n">
        <v>22</v>
      </c>
      <c r="G164" s="7" t="n">
        <v>816</v>
      </c>
      <c r="H164" s="10" t="n">
        <v>0.0269607843137255</v>
      </c>
      <c r="I164" s="7" t="n">
        <v>7.83</v>
      </c>
      <c r="J164" s="7" t="s">
        <v>181</v>
      </c>
      <c r="K164" s="7" t="s">
        <v>182</v>
      </c>
      <c r="L164" s="7" t="s">
        <v>185</v>
      </c>
      <c r="M164" s="3"/>
      <c r="N164" s="3"/>
      <c r="O164" s="3"/>
      <c r="P164" s="3"/>
    </row>
    <row r="165" customFormat="false" ht="15.75" hidden="false" customHeight="true" outlineLevel="0" collapsed="false">
      <c r="A165" s="8" t="n">
        <v>46169</v>
      </c>
      <c r="B165" s="7" t="s">
        <v>186</v>
      </c>
      <c r="C165" s="7" t="s">
        <v>162</v>
      </c>
      <c r="D165" s="7" t="s">
        <v>39</v>
      </c>
      <c r="E165" s="7" t="s">
        <v>160</v>
      </c>
      <c r="F165" s="7" t="n">
        <v>6</v>
      </c>
      <c r="G165" s="7" t="n">
        <v>530</v>
      </c>
      <c r="H165" s="10" t="n">
        <v>0.0113207547169811</v>
      </c>
      <c r="I165" s="7" t="n">
        <v>13.13</v>
      </c>
      <c r="J165" s="7" t="s">
        <v>181</v>
      </c>
      <c r="K165" s="7" t="s">
        <v>187</v>
      </c>
      <c r="L165" s="7" t="s">
        <v>188</v>
      </c>
      <c r="M165" s="3"/>
      <c r="N165" s="3"/>
      <c r="O165" s="3"/>
      <c r="P165" s="3"/>
    </row>
    <row r="166" customFormat="false" ht="15.75" hidden="false" customHeight="true" outlineLevel="0" collapsed="false">
      <c r="A166" s="8" t="n">
        <v>46169</v>
      </c>
      <c r="B166" s="7" t="s">
        <v>189</v>
      </c>
      <c r="C166" s="7" t="s">
        <v>163</v>
      </c>
      <c r="D166" s="7" t="s">
        <v>39</v>
      </c>
      <c r="E166" s="7" t="s">
        <v>160</v>
      </c>
      <c r="F166" s="7" t="n">
        <v>7</v>
      </c>
      <c r="G166" s="7" t="n">
        <v>551</v>
      </c>
      <c r="H166" s="10" t="n">
        <v>0.0127041742286751</v>
      </c>
      <c r="I166" s="7" t="n">
        <v>11.84</v>
      </c>
      <c r="J166" s="7" t="s">
        <v>181</v>
      </c>
      <c r="K166" s="7" t="s">
        <v>187</v>
      </c>
      <c r="L166" s="7" t="s">
        <v>190</v>
      </c>
      <c r="M166" s="3"/>
      <c r="N166" s="3"/>
      <c r="O166" s="3"/>
      <c r="P166" s="3"/>
    </row>
    <row r="167" customFormat="false" ht="15.75" hidden="false" customHeight="true" outlineLevel="0" collapsed="false">
      <c r="A167" s="8" t="n">
        <v>46169</v>
      </c>
      <c r="B167" s="7" t="s">
        <v>191</v>
      </c>
      <c r="C167" s="7" t="s">
        <v>166</v>
      </c>
      <c r="D167" s="7" t="s">
        <v>39</v>
      </c>
      <c r="E167" s="7" t="s">
        <v>160</v>
      </c>
      <c r="F167" s="7" t="n">
        <v>84</v>
      </c>
      <c r="G167" s="7" t="n">
        <v>531</v>
      </c>
      <c r="H167" s="10" t="n">
        <v>0.15819209039548</v>
      </c>
      <c r="I167" s="7" t="n">
        <v>2.96</v>
      </c>
      <c r="J167" s="7" t="s">
        <v>178</v>
      </c>
      <c r="K167" s="7" t="s">
        <v>192</v>
      </c>
      <c r="L167" s="7" t="s">
        <v>178</v>
      </c>
      <c r="M167" s="3"/>
      <c r="N167" s="3"/>
      <c r="O167" s="3"/>
      <c r="P167" s="3"/>
    </row>
    <row r="168" customFormat="false" ht="15.75" hidden="false" customHeight="true" outlineLevel="0" collapsed="false">
      <c r="A168" s="8" t="n">
        <v>46170</v>
      </c>
      <c r="B168" s="7" t="s">
        <v>177</v>
      </c>
      <c r="C168" s="7" t="s">
        <v>164</v>
      </c>
      <c r="D168" s="7" t="s">
        <v>39</v>
      </c>
      <c r="E168" s="7" t="s">
        <v>160</v>
      </c>
      <c r="F168" s="7" t="n">
        <v>71</v>
      </c>
      <c r="G168" s="7" t="n">
        <v>445</v>
      </c>
      <c r="H168" s="10" t="n">
        <v>0.159550561797753</v>
      </c>
      <c r="I168" s="7" t="n">
        <v>2.32</v>
      </c>
      <c r="J168" s="7" t="s">
        <v>178</v>
      </c>
      <c r="K168" s="7" t="s">
        <v>179</v>
      </c>
      <c r="L168" s="7" t="s">
        <v>178</v>
      </c>
      <c r="M168" s="3"/>
      <c r="N168" s="3"/>
      <c r="O168" s="3"/>
      <c r="P168" s="3"/>
    </row>
    <row r="169" customFormat="false" ht="15.75" hidden="false" customHeight="true" outlineLevel="0" collapsed="false">
      <c r="A169" s="8" t="n">
        <v>46170</v>
      </c>
      <c r="B169" s="7" t="s">
        <v>180</v>
      </c>
      <c r="C169" s="7" t="s">
        <v>157</v>
      </c>
      <c r="D169" s="7" t="s">
        <v>39</v>
      </c>
      <c r="E169" s="7" t="s">
        <v>160</v>
      </c>
      <c r="F169" s="7" t="n">
        <v>24</v>
      </c>
      <c r="G169" s="7" t="n">
        <v>878</v>
      </c>
      <c r="H169" s="10" t="n">
        <v>0.0273348519362187</v>
      </c>
      <c r="I169" s="7" t="n">
        <v>8.1</v>
      </c>
      <c r="J169" s="7" t="s">
        <v>181</v>
      </c>
      <c r="K169" s="7" t="s">
        <v>182</v>
      </c>
      <c r="L169" s="7" t="s">
        <v>183</v>
      </c>
      <c r="M169" s="3"/>
      <c r="N169" s="3"/>
      <c r="O169" s="3"/>
      <c r="P169" s="3"/>
    </row>
    <row r="170" customFormat="false" ht="15.75" hidden="false" customHeight="true" outlineLevel="0" collapsed="false">
      <c r="A170" s="8" t="n">
        <v>46170</v>
      </c>
      <c r="B170" s="7" t="s">
        <v>184</v>
      </c>
      <c r="C170" s="7" t="s">
        <v>161</v>
      </c>
      <c r="D170" s="7" t="s">
        <v>39</v>
      </c>
      <c r="E170" s="7" t="s">
        <v>160</v>
      </c>
      <c r="F170" s="7" t="n">
        <v>20</v>
      </c>
      <c r="G170" s="7" t="n">
        <v>748</v>
      </c>
      <c r="H170" s="10" t="n">
        <v>0.0267379679144385</v>
      </c>
      <c r="I170" s="7" t="n">
        <v>7.98</v>
      </c>
      <c r="J170" s="7" t="s">
        <v>181</v>
      </c>
      <c r="K170" s="7" t="s">
        <v>182</v>
      </c>
      <c r="L170" s="7" t="s">
        <v>185</v>
      </c>
      <c r="M170" s="3"/>
      <c r="N170" s="3"/>
      <c r="O170" s="3"/>
      <c r="P170" s="3"/>
    </row>
    <row r="171" customFormat="false" ht="15.75" hidden="false" customHeight="true" outlineLevel="0" collapsed="false">
      <c r="A171" s="8" t="n">
        <v>46170</v>
      </c>
      <c r="B171" s="7" t="s">
        <v>186</v>
      </c>
      <c r="C171" s="7" t="s">
        <v>162</v>
      </c>
      <c r="D171" s="7" t="s">
        <v>39</v>
      </c>
      <c r="E171" s="7" t="s">
        <v>160</v>
      </c>
      <c r="F171" s="7" t="n">
        <v>6</v>
      </c>
      <c r="G171" s="7" t="n">
        <v>535</v>
      </c>
      <c r="H171" s="10" t="n">
        <v>0.011214953271028</v>
      </c>
      <c r="I171" s="7" t="n">
        <v>12.77</v>
      </c>
      <c r="J171" s="7" t="s">
        <v>181</v>
      </c>
      <c r="K171" s="7" t="s">
        <v>187</v>
      </c>
      <c r="L171" s="7" t="s">
        <v>188</v>
      </c>
      <c r="M171" s="3"/>
      <c r="N171" s="3"/>
      <c r="O171" s="3"/>
      <c r="P171" s="3"/>
    </row>
    <row r="172" customFormat="false" ht="15.75" hidden="false" customHeight="true" outlineLevel="0" collapsed="false">
      <c r="A172" s="8" t="n">
        <v>46170</v>
      </c>
      <c r="B172" s="7" t="s">
        <v>189</v>
      </c>
      <c r="C172" s="7" t="s">
        <v>163</v>
      </c>
      <c r="D172" s="7" t="s">
        <v>39</v>
      </c>
      <c r="E172" s="7" t="s">
        <v>165</v>
      </c>
      <c r="F172" s="7" t="n">
        <v>8</v>
      </c>
      <c r="G172" s="7" t="n">
        <v>658</v>
      </c>
      <c r="H172" s="10" t="n">
        <v>0.0121580547112462</v>
      </c>
      <c r="I172" s="7" t="n">
        <v>11.92</v>
      </c>
      <c r="J172" s="7" t="s">
        <v>181</v>
      </c>
      <c r="K172" s="7" t="s">
        <v>187</v>
      </c>
      <c r="L172" s="7" t="s">
        <v>190</v>
      </c>
      <c r="M172" s="3"/>
      <c r="N172" s="3"/>
      <c r="O172" s="3"/>
      <c r="P172" s="3"/>
    </row>
    <row r="173" customFormat="false" ht="15.75" hidden="false" customHeight="true" outlineLevel="0" collapsed="false">
      <c r="A173" s="8" t="n">
        <v>46170</v>
      </c>
      <c r="B173" s="7" t="s">
        <v>191</v>
      </c>
      <c r="C173" s="7" t="s">
        <v>166</v>
      </c>
      <c r="D173" s="7" t="s">
        <v>39</v>
      </c>
      <c r="E173" s="7" t="s">
        <v>160</v>
      </c>
      <c r="F173" s="7" t="n">
        <v>74</v>
      </c>
      <c r="G173" s="7" t="n">
        <v>463</v>
      </c>
      <c r="H173" s="10" t="n">
        <v>0.159827213822894</v>
      </c>
      <c r="I173" s="7" t="n">
        <v>2.67</v>
      </c>
      <c r="J173" s="7" t="s">
        <v>178</v>
      </c>
      <c r="K173" s="7" t="s">
        <v>192</v>
      </c>
      <c r="L173" s="7" t="s">
        <v>178</v>
      </c>
      <c r="M173" s="3"/>
      <c r="N173" s="3"/>
      <c r="O173" s="3"/>
      <c r="P173" s="3"/>
    </row>
    <row r="174" customFormat="false" ht="15.75" hidden="false" customHeight="true" outlineLevel="0" collapsed="false">
      <c r="A174" s="8" t="n">
        <v>46171</v>
      </c>
      <c r="B174" s="7" t="s">
        <v>177</v>
      </c>
      <c r="C174" s="7" t="s">
        <v>164</v>
      </c>
      <c r="D174" s="7" t="s">
        <v>39</v>
      </c>
      <c r="E174" s="7" t="s">
        <v>165</v>
      </c>
      <c r="F174" s="7" t="n">
        <v>23</v>
      </c>
      <c r="G174" s="7" t="n">
        <v>436</v>
      </c>
      <c r="H174" s="10" t="n">
        <v>0.0527522935779817</v>
      </c>
      <c r="I174" s="7" t="n">
        <v>3.57</v>
      </c>
      <c r="J174" s="7" t="s">
        <v>178</v>
      </c>
      <c r="K174" s="7" t="s">
        <v>179</v>
      </c>
      <c r="L174" s="7" t="s">
        <v>178</v>
      </c>
      <c r="M174" s="3"/>
      <c r="N174" s="3"/>
      <c r="O174" s="3"/>
      <c r="P174" s="3"/>
    </row>
    <row r="175" customFormat="false" ht="15.75" hidden="false" customHeight="true" outlineLevel="0" collapsed="false">
      <c r="A175" s="8" t="n">
        <v>46171</v>
      </c>
      <c r="B175" s="7" t="s">
        <v>180</v>
      </c>
      <c r="C175" s="7" t="s">
        <v>157</v>
      </c>
      <c r="D175" s="7" t="s">
        <v>39</v>
      </c>
      <c r="E175" s="7" t="s">
        <v>165</v>
      </c>
      <c r="F175" s="7" t="n">
        <v>21</v>
      </c>
      <c r="G175" s="7" t="n">
        <v>761</v>
      </c>
      <c r="H175" s="10" t="n">
        <v>0.0275952693823916</v>
      </c>
      <c r="I175" s="7" t="n">
        <v>8.6</v>
      </c>
      <c r="J175" s="7" t="s">
        <v>181</v>
      </c>
      <c r="K175" s="7" t="s">
        <v>182</v>
      </c>
      <c r="L175" s="7" t="s">
        <v>183</v>
      </c>
      <c r="M175" s="3"/>
      <c r="N175" s="3"/>
      <c r="O175" s="3"/>
      <c r="P175" s="3"/>
    </row>
    <row r="176" customFormat="false" ht="15.75" hidden="false" customHeight="true" outlineLevel="0" collapsed="false">
      <c r="A176" s="8" t="n">
        <v>46171</v>
      </c>
      <c r="B176" s="7" t="s">
        <v>184</v>
      </c>
      <c r="C176" s="7" t="s">
        <v>161</v>
      </c>
      <c r="D176" s="7" t="s">
        <v>39</v>
      </c>
      <c r="E176" s="7" t="s">
        <v>165</v>
      </c>
      <c r="F176" s="7" t="n">
        <v>20</v>
      </c>
      <c r="G176" s="7" t="n">
        <v>727</v>
      </c>
      <c r="H176" s="10" t="n">
        <v>0.0275103163686382</v>
      </c>
      <c r="I176" s="7" t="n">
        <v>8.25</v>
      </c>
      <c r="J176" s="7" t="s">
        <v>181</v>
      </c>
      <c r="K176" s="7" t="s">
        <v>182</v>
      </c>
      <c r="L176" s="7" t="s">
        <v>185</v>
      </c>
      <c r="M176" s="3"/>
      <c r="N176" s="3"/>
      <c r="O176" s="3"/>
      <c r="P176" s="3"/>
    </row>
    <row r="177" customFormat="false" ht="15.75" hidden="false" customHeight="true" outlineLevel="0" collapsed="false">
      <c r="A177" s="8" t="n">
        <v>46171</v>
      </c>
      <c r="B177" s="7" t="s">
        <v>186</v>
      </c>
      <c r="C177" s="7" t="s">
        <v>162</v>
      </c>
      <c r="D177" s="7" t="s">
        <v>39</v>
      </c>
      <c r="E177" s="7" t="s">
        <v>160</v>
      </c>
      <c r="F177" s="7" t="n">
        <v>8</v>
      </c>
      <c r="G177" s="7" t="n">
        <v>661</v>
      </c>
      <c r="H177" s="10" t="n">
        <v>0.0121028744326778</v>
      </c>
      <c r="I177" s="7" t="n">
        <v>12.66</v>
      </c>
      <c r="J177" s="7" t="s">
        <v>181</v>
      </c>
      <c r="K177" s="7" t="s">
        <v>187</v>
      </c>
      <c r="L177" s="7" t="s">
        <v>188</v>
      </c>
      <c r="M177" s="3"/>
      <c r="N177" s="3"/>
      <c r="O177" s="3"/>
      <c r="P177" s="3"/>
    </row>
    <row r="178" customFormat="false" ht="15.75" hidden="false" customHeight="true" outlineLevel="0" collapsed="false">
      <c r="A178" s="8" t="n">
        <v>46171</v>
      </c>
      <c r="B178" s="7" t="s">
        <v>189</v>
      </c>
      <c r="C178" s="7" t="s">
        <v>163</v>
      </c>
      <c r="D178" s="7" t="s">
        <v>39</v>
      </c>
      <c r="E178" s="7" t="s">
        <v>160</v>
      </c>
      <c r="F178" s="7" t="n">
        <v>7</v>
      </c>
      <c r="G178" s="7" t="n">
        <v>558</v>
      </c>
      <c r="H178" s="10" t="n">
        <v>0.0125448028673835</v>
      </c>
      <c r="I178" s="7" t="n">
        <v>11.92</v>
      </c>
      <c r="J178" s="7" t="s">
        <v>181</v>
      </c>
      <c r="K178" s="7" t="s">
        <v>187</v>
      </c>
      <c r="L178" s="7" t="s">
        <v>190</v>
      </c>
      <c r="M178" s="3"/>
      <c r="N178" s="3"/>
      <c r="O178" s="3"/>
      <c r="P178" s="3"/>
    </row>
    <row r="179" customFormat="false" ht="15.75" hidden="false" customHeight="true" outlineLevel="0" collapsed="false">
      <c r="A179" s="8" t="n">
        <v>46171</v>
      </c>
      <c r="B179" s="7" t="s">
        <v>191</v>
      </c>
      <c r="C179" s="7" t="s">
        <v>166</v>
      </c>
      <c r="D179" s="7" t="s">
        <v>39</v>
      </c>
      <c r="E179" s="7" t="s">
        <v>160</v>
      </c>
      <c r="F179" s="7" t="n">
        <v>64</v>
      </c>
      <c r="G179" s="7" t="n">
        <v>406</v>
      </c>
      <c r="H179" s="10" t="n">
        <v>0.157635467980296</v>
      </c>
      <c r="I179" s="7" t="n">
        <v>2.35</v>
      </c>
      <c r="J179" s="7" t="s">
        <v>178</v>
      </c>
      <c r="K179" s="7" t="s">
        <v>192</v>
      </c>
      <c r="L179" s="7" t="s">
        <v>178</v>
      </c>
      <c r="M179" s="3"/>
      <c r="N179" s="3"/>
      <c r="O179" s="3"/>
      <c r="P179" s="3"/>
    </row>
    <row r="180" customFormat="false" ht="15.75" hidden="false" customHeight="true" outlineLevel="0" collapsed="false">
      <c r="A180" s="8" t="n">
        <v>46172</v>
      </c>
      <c r="B180" s="7" t="s">
        <v>177</v>
      </c>
      <c r="C180" s="7" t="s">
        <v>164</v>
      </c>
      <c r="D180" s="7" t="s">
        <v>39</v>
      </c>
      <c r="E180" s="7" t="s">
        <v>160</v>
      </c>
      <c r="F180" s="7" t="n">
        <v>26</v>
      </c>
      <c r="G180" s="7" t="n">
        <v>475</v>
      </c>
      <c r="H180" s="10" t="n">
        <v>0.0547368421052632</v>
      </c>
      <c r="I180" s="7" t="n">
        <v>3.54</v>
      </c>
      <c r="J180" s="7" t="s">
        <v>178</v>
      </c>
      <c r="K180" s="7" t="s">
        <v>179</v>
      </c>
      <c r="L180" s="7" t="s">
        <v>178</v>
      </c>
      <c r="M180" s="3"/>
      <c r="N180" s="3"/>
      <c r="O180" s="3"/>
      <c r="P180" s="3"/>
    </row>
    <row r="181" customFormat="false" ht="15.75" hidden="false" customHeight="true" outlineLevel="0" collapsed="false">
      <c r="A181" s="8" t="n">
        <v>46172</v>
      </c>
      <c r="B181" s="7" t="s">
        <v>180</v>
      </c>
      <c r="C181" s="7" t="s">
        <v>157</v>
      </c>
      <c r="D181" s="7" t="s">
        <v>39</v>
      </c>
      <c r="E181" s="7" t="s">
        <v>160</v>
      </c>
      <c r="F181" s="7" t="n">
        <v>20</v>
      </c>
      <c r="G181" s="7" t="n">
        <v>730</v>
      </c>
      <c r="H181" s="10" t="n">
        <v>0.0273972602739726</v>
      </c>
      <c r="I181" s="7" t="n">
        <v>7.61</v>
      </c>
      <c r="J181" s="7" t="s">
        <v>181</v>
      </c>
      <c r="K181" s="7" t="s">
        <v>182</v>
      </c>
      <c r="L181" s="7" t="s">
        <v>183</v>
      </c>
      <c r="M181" s="3"/>
      <c r="N181" s="3"/>
      <c r="O181" s="3"/>
      <c r="P181" s="3"/>
    </row>
    <row r="182" customFormat="false" ht="15.75" hidden="false" customHeight="true" outlineLevel="0" collapsed="false">
      <c r="A182" s="8" t="n">
        <v>46172</v>
      </c>
      <c r="B182" s="7" t="s">
        <v>184</v>
      </c>
      <c r="C182" s="7" t="s">
        <v>161</v>
      </c>
      <c r="D182" s="7" t="s">
        <v>39</v>
      </c>
      <c r="E182" s="7" t="s">
        <v>160</v>
      </c>
      <c r="F182" s="7" t="n">
        <v>24</v>
      </c>
      <c r="G182" s="7" t="n">
        <v>876</v>
      </c>
      <c r="H182" s="10" t="n">
        <v>0.0273972602739726</v>
      </c>
      <c r="I182" s="7" t="n">
        <v>8.13</v>
      </c>
      <c r="J182" s="7" t="s">
        <v>181</v>
      </c>
      <c r="K182" s="7" t="s">
        <v>182</v>
      </c>
      <c r="L182" s="7" t="s">
        <v>185</v>
      </c>
      <c r="M182" s="3"/>
      <c r="N182" s="3"/>
      <c r="O182" s="3"/>
      <c r="P182" s="3"/>
    </row>
    <row r="183" customFormat="false" ht="15.75" hidden="false" customHeight="true" outlineLevel="0" collapsed="false">
      <c r="A183" s="8" t="n">
        <v>46172</v>
      </c>
      <c r="B183" s="7" t="s">
        <v>186</v>
      </c>
      <c r="C183" s="7" t="s">
        <v>162</v>
      </c>
      <c r="D183" s="7" t="s">
        <v>39</v>
      </c>
      <c r="E183" s="7" t="s">
        <v>160</v>
      </c>
      <c r="F183" s="7" t="n">
        <v>6</v>
      </c>
      <c r="G183" s="7" t="n">
        <v>536</v>
      </c>
      <c r="H183" s="10" t="n">
        <v>0.0111940298507463</v>
      </c>
      <c r="I183" s="7" t="n">
        <v>11.8</v>
      </c>
      <c r="J183" s="7" t="s">
        <v>181</v>
      </c>
      <c r="K183" s="7" t="s">
        <v>187</v>
      </c>
      <c r="L183" s="7" t="s">
        <v>188</v>
      </c>
      <c r="M183" s="3"/>
      <c r="N183" s="3"/>
      <c r="O183" s="3"/>
      <c r="P183" s="3"/>
    </row>
    <row r="184" customFormat="false" ht="15.75" hidden="false" customHeight="true" outlineLevel="0" collapsed="false">
      <c r="A184" s="8" t="n">
        <v>46172</v>
      </c>
      <c r="B184" s="7" t="s">
        <v>189</v>
      </c>
      <c r="C184" s="7" t="s">
        <v>163</v>
      </c>
      <c r="D184" s="7" t="s">
        <v>39</v>
      </c>
      <c r="E184" s="7" t="s">
        <v>165</v>
      </c>
      <c r="F184" s="7" t="n">
        <v>7</v>
      </c>
      <c r="G184" s="7" t="n">
        <v>570</v>
      </c>
      <c r="H184" s="10" t="n">
        <v>0.012280701754386</v>
      </c>
      <c r="I184" s="7" t="n">
        <v>13.17</v>
      </c>
      <c r="J184" s="7" t="s">
        <v>181</v>
      </c>
      <c r="K184" s="7" t="s">
        <v>187</v>
      </c>
      <c r="L184" s="7" t="s">
        <v>190</v>
      </c>
      <c r="M184" s="3"/>
      <c r="N184" s="3"/>
      <c r="O184" s="3"/>
      <c r="P184" s="3"/>
    </row>
    <row r="185" customFormat="false" ht="15.75" hidden="false" customHeight="true" outlineLevel="0" collapsed="false">
      <c r="A185" s="8" t="n">
        <v>46172</v>
      </c>
      <c r="B185" s="7" t="s">
        <v>191</v>
      </c>
      <c r="C185" s="7" t="s">
        <v>166</v>
      </c>
      <c r="D185" s="7" t="s">
        <v>39</v>
      </c>
      <c r="E185" s="7" t="s">
        <v>160</v>
      </c>
      <c r="F185" s="7" t="n">
        <v>80</v>
      </c>
      <c r="G185" s="7" t="n">
        <v>502</v>
      </c>
      <c r="H185" s="10" t="n">
        <v>0.159362549800797</v>
      </c>
      <c r="I185" s="7" t="n">
        <v>2.69</v>
      </c>
      <c r="J185" s="7" t="s">
        <v>178</v>
      </c>
      <c r="K185" s="7" t="s">
        <v>192</v>
      </c>
      <c r="L185" s="7" t="s">
        <v>178</v>
      </c>
      <c r="M185" s="3"/>
      <c r="N185" s="3"/>
      <c r="O185" s="3"/>
      <c r="P185" s="3"/>
    </row>
    <row r="186" customFormat="false" ht="15.75" hidden="false" customHeight="true" outlineLevel="0" collapsed="false">
      <c r="A186" s="8" t="n">
        <v>46173</v>
      </c>
      <c r="B186" s="7" t="s">
        <v>177</v>
      </c>
      <c r="C186" s="7" t="s">
        <v>164</v>
      </c>
      <c r="D186" s="7" t="s">
        <v>39</v>
      </c>
      <c r="E186" s="7" t="s">
        <v>165</v>
      </c>
      <c r="F186" s="7" t="n">
        <v>79</v>
      </c>
      <c r="G186" s="7" t="n">
        <v>498</v>
      </c>
      <c r="H186" s="10" t="n">
        <v>0.15863453815261</v>
      </c>
      <c r="I186" s="7" t="n">
        <v>2.22</v>
      </c>
      <c r="J186" s="7" t="s">
        <v>178</v>
      </c>
      <c r="K186" s="7" t="s">
        <v>179</v>
      </c>
      <c r="L186" s="7" t="s">
        <v>178</v>
      </c>
      <c r="M186" s="3"/>
      <c r="N186" s="3"/>
      <c r="O186" s="3"/>
      <c r="P186" s="3"/>
    </row>
    <row r="187" customFormat="false" ht="15.75" hidden="false" customHeight="true" outlineLevel="0" collapsed="false">
      <c r="A187" s="8" t="n">
        <v>46173</v>
      </c>
      <c r="B187" s="7" t="s">
        <v>180</v>
      </c>
      <c r="C187" s="7" t="s">
        <v>157</v>
      </c>
      <c r="D187" s="7" t="s">
        <v>39</v>
      </c>
      <c r="E187" s="7" t="s">
        <v>160</v>
      </c>
      <c r="F187" s="7" t="n">
        <v>22</v>
      </c>
      <c r="G187" s="7" t="n">
        <v>789</v>
      </c>
      <c r="H187" s="10" t="n">
        <v>0.0278833967046895</v>
      </c>
      <c r="I187" s="7" t="n">
        <v>7.47</v>
      </c>
      <c r="J187" s="7" t="s">
        <v>181</v>
      </c>
      <c r="K187" s="7" t="s">
        <v>182</v>
      </c>
      <c r="L187" s="7" t="s">
        <v>183</v>
      </c>
      <c r="M187" s="3"/>
      <c r="N187" s="3"/>
      <c r="O187" s="3"/>
      <c r="P187" s="3"/>
    </row>
    <row r="188" customFormat="false" ht="15.75" hidden="false" customHeight="true" outlineLevel="0" collapsed="false">
      <c r="A188" s="8" t="n">
        <v>46173</v>
      </c>
      <c r="B188" s="7" t="s">
        <v>184</v>
      </c>
      <c r="C188" s="7" t="s">
        <v>161</v>
      </c>
      <c r="D188" s="7" t="s">
        <v>39</v>
      </c>
      <c r="E188" s="7" t="s">
        <v>160</v>
      </c>
      <c r="F188" s="7" t="n">
        <v>22</v>
      </c>
      <c r="G188" s="7" t="n">
        <v>807</v>
      </c>
      <c r="H188" s="10" t="n">
        <v>0.0272614622057001</v>
      </c>
      <c r="I188" s="7" t="n">
        <v>8.13</v>
      </c>
      <c r="J188" s="7" t="s">
        <v>181</v>
      </c>
      <c r="K188" s="7" t="s">
        <v>182</v>
      </c>
      <c r="L188" s="7" t="s">
        <v>185</v>
      </c>
      <c r="M188" s="3"/>
      <c r="N188" s="3"/>
      <c r="O188" s="3"/>
      <c r="P188" s="3"/>
    </row>
    <row r="189" customFormat="false" ht="15.75" hidden="false" customHeight="true" outlineLevel="0" collapsed="false">
      <c r="A189" s="8" t="n">
        <v>46173</v>
      </c>
      <c r="B189" s="7" t="s">
        <v>186</v>
      </c>
      <c r="C189" s="7" t="s">
        <v>162</v>
      </c>
      <c r="D189" s="7" t="s">
        <v>39</v>
      </c>
      <c r="E189" s="7" t="s">
        <v>160</v>
      </c>
      <c r="F189" s="7" t="n">
        <v>7</v>
      </c>
      <c r="G189" s="7" t="n">
        <v>575</v>
      </c>
      <c r="H189" s="10" t="n">
        <v>0.0121739130434783</v>
      </c>
      <c r="I189" s="7" t="n">
        <v>13.1</v>
      </c>
      <c r="J189" s="7" t="s">
        <v>181</v>
      </c>
      <c r="K189" s="7" t="s">
        <v>187</v>
      </c>
      <c r="L189" s="7" t="s">
        <v>188</v>
      </c>
      <c r="M189" s="3"/>
      <c r="N189" s="3"/>
      <c r="O189" s="3"/>
      <c r="P189" s="3"/>
    </row>
    <row r="190" customFormat="false" ht="15.75" hidden="false" customHeight="true" outlineLevel="0" collapsed="false">
      <c r="A190" s="8" t="n">
        <v>46173</v>
      </c>
      <c r="B190" s="7" t="s">
        <v>189</v>
      </c>
      <c r="C190" s="7" t="s">
        <v>163</v>
      </c>
      <c r="D190" s="7" t="s">
        <v>39</v>
      </c>
      <c r="E190" s="7" t="s">
        <v>160</v>
      </c>
      <c r="F190" s="7" t="n">
        <v>7</v>
      </c>
      <c r="G190" s="7" t="n">
        <v>566</v>
      </c>
      <c r="H190" s="10" t="n">
        <v>0.0123674911660777</v>
      </c>
      <c r="I190" s="7" t="n">
        <v>12.01</v>
      </c>
      <c r="J190" s="7" t="s">
        <v>181</v>
      </c>
      <c r="K190" s="7" t="s">
        <v>187</v>
      </c>
      <c r="L190" s="7" t="s">
        <v>190</v>
      </c>
      <c r="M190" s="3"/>
      <c r="N190" s="3"/>
      <c r="O190" s="3"/>
      <c r="P190" s="3"/>
    </row>
    <row r="191" customFormat="false" ht="15.75" hidden="false" customHeight="true" outlineLevel="0" collapsed="false">
      <c r="A191" s="8" t="n">
        <v>46173</v>
      </c>
      <c r="B191" s="7" t="s">
        <v>191</v>
      </c>
      <c r="C191" s="7" t="s">
        <v>166</v>
      </c>
      <c r="D191" s="7" t="s">
        <v>39</v>
      </c>
      <c r="E191" s="7" t="s">
        <v>165</v>
      </c>
      <c r="F191" s="7" t="n">
        <v>83</v>
      </c>
      <c r="G191" s="7" t="n">
        <v>520</v>
      </c>
      <c r="H191" s="10" t="n">
        <v>0.159615384615385</v>
      </c>
      <c r="I191" s="7" t="n">
        <v>2.51</v>
      </c>
      <c r="J191" s="7" t="s">
        <v>178</v>
      </c>
      <c r="K191" s="7" t="s">
        <v>192</v>
      </c>
      <c r="L191" s="7" t="s">
        <v>178</v>
      </c>
      <c r="M191" s="3"/>
      <c r="N191" s="3"/>
      <c r="O191" s="3"/>
      <c r="P191" s="3"/>
    </row>
    <row r="192" customFormat="false" ht="15.75" hidden="false" customHeight="true" outlineLevel="0" collapsed="false">
      <c r="A192" s="8" t="n">
        <v>46174</v>
      </c>
      <c r="B192" s="7" t="s">
        <v>177</v>
      </c>
      <c r="C192" s="7" t="s">
        <v>164</v>
      </c>
      <c r="D192" s="7" t="s">
        <v>39</v>
      </c>
      <c r="E192" s="7" t="s">
        <v>160</v>
      </c>
      <c r="F192" s="7" t="n">
        <v>79</v>
      </c>
      <c r="G192" s="7" t="n">
        <v>497</v>
      </c>
      <c r="H192" s="10" t="n">
        <v>0.158953722334004</v>
      </c>
      <c r="I192" s="7" t="n">
        <v>1.83</v>
      </c>
      <c r="J192" s="7" t="s">
        <v>178</v>
      </c>
      <c r="K192" s="7" t="s">
        <v>179</v>
      </c>
      <c r="L192" s="7" t="s">
        <v>178</v>
      </c>
      <c r="M192" s="3"/>
      <c r="N192" s="3"/>
      <c r="O192" s="3"/>
      <c r="P192" s="3"/>
    </row>
    <row r="193" customFormat="false" ht="15.75" hidden="false" customHeight="true" outlineLevel="0" collapsed="false">
      <c r="A193" s="8" t="n">
        <v>46174</v>
      </c>
      <c r="B193" s="7" t="s">
        <v>180</v>
      </c>
      <c r="C193" s="7" t="s">
        <v>157</v>
      </c>
      <c r="D193" s="7" t="s">
        <v>39</v>
      </c>
      <c r="E193" s="7" t="s">
        <v>160</v>
      </c>
      <c r="F193" s="7" t="n">
        <v>24</v>
      </c>
      <c r="G193" s="7" t="n">
        <v>876</v>
      </c>
      <c r="H193" s="10" t="n">
        <v>0.0273972602739726</v>
      </c>
      <c r="I193" s="7" t="n">
        <v>7.53</v>
      </c>
      <c r="J193" s="7" t="s">
        <v>181</v>
      </c>
      <c r="K193" s="7" t="s">
        <v>182</v>
      </c>
      <c r="L193" s="7" t="s">
        <v>183</v>
      </c>
      <c r="M193" s="3"/>
      <c r="N193" s="3"/>
      <c r="O193" s="3"/>
      <c r="P193" s="3"/>
    </row>
    <row r="194" customFormat="false" ht="15.75" hidden="false" customHeight="true" outlineLevel="0" collapsed="false">
      <c r="A194" s="8" t="n">
        <v>46174</v>
      </c>
      <c r="B194" s="7" t="s">
        <v>184</v>
      </c>
      <c r="C194" s="7" t="s">
        <v>161</v>
      </c>
      <c r="D194" s="7" t="s">
        <v>39</v>
      </c>
      <c r="E194" s="7" t="s">
        <v>160</v>
      </c>
      <c r="F194" s="7" t="n">
        <v>26</v>
      </c>
      <c r="G194" s="7" t="n">
        <v>956</v>
      </c>
      <c r="H194" s="10" t="n">
        <v>0.0271966527196653</v>
      </c>
      <c r="I194" s="7" t="n">
        <v>7.93</v>
      </c>
      <c r="J194" s="7" t="s">
        <v>181</v>
      </c>
      <c r="K194" s="7" t="s">
        <v>182</v>
      </c>
      <c r="L194" s="7" t="s">
        <v>185</v>
      </c>
      <c r="M194" s="3"/>
      <c r="N194" s="3"/>
      <c r="O194" s="3"/>
      <c r="P194" s="3"/>
    </row>
    <row r="195" customFormat="false" ht="15.75" hidden="false" customHeight="true" outlineLevel="0" collapsed="false">
      <c r="A195" s="8" t="n">
        <v>46174</v>
      </c>
      <c r="B195" s="7" t="s">
        <v>186</v>
      </c>
      <c r="C195" s="7" t="s">
        <v>162</v>
      </c>
      <c r="D195" s="7" t="s">
        <v>39</v>
      </c>
      <c r="E195" s="7" t="s">
        <v>160</v>
      </c>
      <c r="F195" s="7" t="n">
        <v>8</v>
      </c>
      <c r="G195" s="7" t="n">
        <v>639</v>
      </c>
      <c r="H195" s="10" t="n">
        <v>0.0125195618153365</v>
      </c>
      <c r="I195" s="7" t="n">
        <v>11.19</v>
      </c>
      <c r="J195" s="7" t="s">
        <v>181</v>
      </c>
      <c r="K195" s="7" t="s">
        <v>187</v>
      </c>
      <c r="L195" s="7" t="s">
        <v>188</v>
      </c>
      <c r="M195" s="3"/>
      <c r="N195" s="3"/>
      <c r="O195" s="3"/>
      <c r="P195" s="3"/>
    </row>
    <row r="196" customFormat="false" ht="15.75" hidden="false" customHeight="true" outlineLevel="0" collapsed="false">
      <c r="A196" s="8" t="n">
        <v>46174</v>
      </c>
      <c r="B196" s="7" t="s">
        <v>189</v>
      </c>
      <c r="C196" s="7" t="s">
        <v>163</v>
      </c>
      <c r="D196" s="7" t="s">
        <v>39</v>
      </c>
      <c r="E196" s="7" t="s">
        <v>165</v>
      </c>
      <c r="F196" s="7" t="n">
        <v>8</v>
      </c>
      <c r="G196" s="7" t="n">
        <v>632</v>
      </c>
      <c r="H196" s="10" t="n">
        <v>0.0126582278481013</v>
      </c>
      <c r="I196" s="7" t="n">
        <v>12.04</v>
      </c>
      <c r="J196" s="7" t="s">
        <v>181</v>
      </c>
      <c r="K196" s="7" t="s">
        <v>187</v>
      </c>
      <c r="L196" s="7" t="s">
        <v>190</v>
      </c>
      <c r="M196" s="3"/>
      <c r="N196" s="3"/>
      <c r="O196" s="3"/>
      <c r="P196" s="3"/>
    </row>
    <row r="197" customFormat="false" ht="15.75" hidden="false" customHeight="true" outlineLevel="0" collapsed="false">
      <c r="A197" s="8" t="n">
        <v>46174</v>
      </c>
      <c r="B197" s="7" t="s">
        <v>191</v>
      </c>
      <c r="C197" s="7" t="s">
        <v>166</v>
      </c>
      <c r="D197" s="7" t="s">
        <v>39</v>
      </c>
      <c r="E197" s="7" t="s">
        <v>160</v>
      </c>
      <c r="F197" s="7" t="n">
        <v>94</v>
      </c>
      <c r="G197" s="7" t="n">
        <v>588</v>
      </c>
      <c r="H197" s="10" t="n">
        <v>0.159863945578231</v>
      </c>
      <c r="I197" s="7" t="n">
        <v>1.63</v>
      </c>
      <c r="J197" s="7" t="s">
        <v>178</v>
      </c>
      <c r="K197" s="7" t="s">
        <v>192</v>
      </c>
      <c r="L197" s="7" t="s">
        <v>178</v>
      </c>
      <c r="M197" s="3"/>
      <c r="N197" s="3"/>
      <c r="O197" s="3"/>
      <c r="P197" s="3"/>
    </row>
    <row r="198" customFormat="false" ht="15.75" hidden="false" customHeight="true" outlineLevel="0" collapsed="false">
      <c r="A198" s="8" t="n">
        <v>46175</v>
      </c>
      <c r="B198" s="7" t="s">
        <v>177</v>
      </c>
      <c r="C198" s="7" t="s">
        <v>164</v>
      </c>
      <c r="D198" s="7" t="s">
        <v>39</v>
      </c>
      <c r="E198" s="7" t="s">
        <v>160</v>
      </c>
      <c r="F198" s="7" t="n">
        <v>92</v>
      </c>
      <c r="G198" s="7" t="n">
        <v>578</v>
      </c>
      <c r="H198" s="10" t="n">
        <v>0.15916955017301</v>
      </c>
      <c r="I198" s="7" t="n">
        <v>1.84</v>
      </c>
      <c r="J198" s="7" t="s">
        <v>178</v>
      </c>
      <c r="K198" s="7" t="s">
        <v>179</v>
      </c>
      <c r="L198" s="7" t="s">
        <v>178</v>
      </c>
      <c r="M198" s="3"/>
      <c r="N198" s="3"/>
      <c r="O198" s="3"/>
      <c r="P198" s="3"/>
    </row>
    <row r="199" customFormat="false" ht="15.75" hidden="false" customHeight="true" outlineLevel="0" collapsed="false">
      <c r="A199" s="8" t="n">
        <v>46175</v>
      </c>
      <c r="B199" s="7" t="s">
        <v>180</v>
      </c>
      <c r="C199" s="7" t="s">
        <v>157</v>
      </c>
      <c r="D199" s="7" t="s">
        <v>39</v>
      </c>
      <c r="E199" s="7" t="s">
        <v>160</v>
      </c>
      <c r="F199" s="7" t="n">
        <v>25</v>
      </c>
      <c r="G199" s="7" t="n">
        <v>916</v>
      </c>
      <c r="H199" s="10" t="n">
        <v>0.027292576419214</v>
      </c>
      <c r="I199" s="7" t="n">
        <v>7.48</v>
      </c>
      <c r="J199" s="7" t="s">
        <v>181</v>
      </c>
      <c r="K199" s="7" t="s">
        <v>182</v>
      </c>
      <c r="L199" s="7" t="s">
        <v>183</v>
      </c>
      <c r="M199" s="3"/>
      <c r="N199" s="3"/>
      <c r="O199" s="3"/>
      <c r="P199" s="3"/>
    </row>
    <row r="200" customFormat="false" ht="15.75" hidden="false" customHeight="true" outlineLevel="0" collapsed="false">
      <c r="A200" s="8" t="n">
        <v>46175</v>
      </c>
      <c r="B200" s="7" t="s">
        <v>184</v>
      </c>
      <c r="C200" s="7" t="s">
        <v>161</v>
      </c>
      <c r="D200" s="7" t="s">
        <v>39</v>
      </c>
      <c r="E200" s="7" t="s">
        <v>160</v>
      </c>
      <c r="F200" s="7" t="n">
        <v>25</v>
      </c>
      <c r="G200" s="7" t="n">
        <v>901</v>
      </c>
      <c r="H200" s="10" t="n">
        <v>0.0277469478357381</v>
      </c>
      <c r="I200" s="7" t="n">
        <v>6.8</v>
      </c>
      <c r="J200" s="7" t="s">
        <v>181</v>
      </c>
      <c r="K200" s="7" t="s">
        <v>182</v>
      </c>
      <c r="L200" s="7" t="s">
        <v>185</v>
      </c>
      <c r="M200" s="3"/>
      <c r="N200" s="3"/>
      <c r="O200" s="3"/>
      <c r="P200" s="3"/>
    </row>
    <row r="201" customFormat="false" ht="15.75" hidden="false" customHeight="true" outlineLevel="0" collapsed="false">
      <c r="A201" s="8" t="n">
        <v>46175</v>
      </c>
      <c r="B201" s="7" t="s">
        <v>186</v>
      </c>
      <c r="C201" s="7" t="s">
        <v>162</v>
      </c>
      <c r="D201" s="7" t="s">
        <v>39</v>
      </c>
      <c r="E201" s="7" t="s">
        <v>160</v>
      </c>
      <c r="F201" s="7" t="n">
        <v>8</v>
      </c>
      <c r="G201" s="7" t="n">
        <v>679</v>
      </c>
      <c r="H201" s="10" t="n">
        <v>0.0117820324005891</v>
      </c>
      <c r="I201" s="7" t="n">
        <v>12.5</v>
      </c>
      <c r="J201" s="7" t="s">
        <v>181</v>
      </c>
      <c r="K201" s="7" t="s">
        <v>187</v>
      </c>
      <c r="L201" s="7" t="s">
        <v>188</v>
      </c>
      <c r="M201" s="3"/>
      <c r="N201" s="3"/>
      <c r="O201" s="3"/>
      <c r="P201" s="3"/>
    </row>
    <row r="202" customFormat="false" ht="15.75" hidden="false" customHeight="true" outlineLevel="0" collapsed="false">
      <c r="A202" s="8" t="n">
        <v>46175</v>
      </c>
      <c r="B202" s="7" t="s">
        <v>189</v>
      </c>
      <c r="C202" s="7" t="s">
        <v>163</v>
      </c>
      <c r="D202" s="7" t="s">
        <v>39</v>
      </c>
      <c r="E202" s="7" t="s">
        <v>165</v>
      </c>
      <c r="F202" s="7" t="n">
        <v>8</v>
      </c>
      <c r="G202" s="7" t="n">
        <v>639</v>
      </c>
      <c r="H202" s="10" t="n">
        <v>0.0125195618153365</v>
      </c>
      <c r="I202" s="7" t="n">
        <v>11.57</v>
      </c>
      <c r="J202" s="7" t="s">
        <v>181</v>
      </c>
      <c r="K202" s="7" t="s">
        <v>187</v>
      </c>
      <c r="L202" s="7" t="s">
        <v>190</v>
      </c>
      <c r="M202" s="3"/>
      <c r="N202" s="3"/>
      <c r="O202" s="3"/>
      <c r="P202" s="3"/>
    </row>
    <row r="203" customFormat="false" ht="15.75" hidden="false" customHeight="true" outlineLevel="0" collapsed="false">
      <c r="A203" s="8" t="n">
        <v>46175</v>
      </c>
      <c r="B203" s="7" t="s">
        <v>191</v>
      </c>
      <c r="C203" s="7" t="s">
        <v>166</v>
      </c>
      <c r="D203" s="7" t="s">
        <v>39</v>
      </c>
      <c r="E203" s="7" t="s">
        <v>160</v>
      </c>
      <c r="F203" s="7" t="n">
        <v>87</v>
      </c>
      <c r="G203" s="7" t="n">
        <v>547</v>
      </c>
      <c r="H203" s="10" t="n">
        <v>0.159049360146252</v>
      </c>
      <c r="I203" s="7" t="n">
        <v>2.77</v>
      </c>
      <c r="J203" s="7" t="s">
        <v>178</v>
      </c>
      <c r="K203" s="7" t="s">
        <v>192</v>
      </c>
      <c r="L203" s="7" t="s">
        <v>178</v>
      </c>
      <c r="M203" s="3"/>
      <c r="N203" s="3"/>
      <c r="O203" s="3"/>
      <c r="P203" s="3"/>
    </row>
    <row r="204" customFormat="false" ht="15.75" hidden="false" customHeight="true" outlineLevel="0" collapsed="false">
      <c r="A204" s="8" t="n">
        <v>46176</v>
      </c>
      <c r="B204" s="7" t="s">
        <v>177</v>
      </c>
      <c r="C204" s="7" t="s">
        <v>164</v>
      </c>
      <c r="D204" s="7" t="s">
        <v>39</v>
      </c>
      <c r="E204" s="7" t="s">
        <v>165</v>
      </c>
      <c r="F204" s="7" t="n">
        <v>74</v>
      </c>
      <c r="G204" s="7" t="n">
        <v>467</v>
      </c>
      <c r="H204" s="10" t="n">
        <v>0.158458244111349</v>
      </c>
      <c r="I204" s="7" t="n">
        <v>2.17</v>
      </c>
      <c r="J204" s="7" t="s">
        <v>178</v>
      </c>
      <c r="K204" s="7" t="s">
        <v>179</v>
      </c>
      <c r="L204" s="7" t="s">
        <v>178</v>
      </c>
      <c r="M204" s="3"/>
      <c r="N204" s="3"/>
      <c r="O204" s="3"/>
      <c r="P204" s="3"/>
    </row>
    <row r="205" customFormat="false" ht="15.75" hidden="false" customHeight="true" outlineLevel="0" collapsed="false">
      <c r="A205" s="8" t="n">
        <v>46176</v>
      </c>
      <c r="B205" s="7" t="s">
        <v>180</v>
      </c>
      <c r="C205" s="7" t="s">
        <v>157</v>
      </c>
      <c r="D205" s="7" t="s">
        <v>39</v>
      </c>
      <c r="E205" s="7" t="s">
        <v>160</v>
      </c>
      <c r="F205" s="7" t="n">
        <v>22</v>
      </c>
      <c r="G205" s="7" t="n">
        <v>813</v>
      </c>
      <c r="H205" s="10" t="n">
        <v>0.027060270602706</v>
      </c>
      <c r="I205" s="7" t="n">
        <v>6.77</v>
      </c>
      <c r="J205" s="7" t="s">
        <v>181</v>
      </c>
      <c r="K205" s="7" t="s">
        <v>182</v>
      </c>
      <c r="L205" s="7" t="s">
        <v>183</v>
      </c>
      <c r="M205" s="3"/>
      <c r="N205" s="3"/>
      <c r="O205" s="3"/>
      <c r="P205" s="3"/>
    </row>
    <row r="206" customFormat="false" ht="15.75" hidden="false" customHeight="true" outlineLevel="0" collapsed="false">
      <c r="A206" s="8" t="n">
        <v>46176</v>
      </c>
      <c r="B206" s="7" t="s">
        <v>184</v>
      </c>
      <c r="C206" s="7" t="s">
        <v>161</v>
      </c>
      <c r="D206" s="7" t="s">
        <v>39</v>
      </c>
      <c r="E206" s="7" t="s">
        <v>160</v>
      </c>
      <c r="F206" s="7" t="n">
        <v>23</v>
      </c>
      <c r="G206" s="7" t="n">
        <v>826</v>
      </c>
      <c r="H206" s="10" t="n">
        <v>0.0278450363196126</v>
      </c>
      <c r="I206" s="7" t="n">
        <v>7.29</v>
      </c>
      <c r="J206" s="7" t="s">
        <v>181</v>
      </c>
      <c r="K206" s="7" t="s">
        <v>182</v>
      </c>
      <c r="L206" s="7" t="s">
        <v>185</v>
      </c>
      <c r="M206" s="3"/>
      <c r="N206" s="3"/>
      <c r="O206" s="3"/>
      <c r="P206" s="3"/>
    </row>
    <row r="207" customFormat="false" ht="15.75" hidden="false" customHeight="true" outlineLevel="0" collapsed="false">
      <c r="A207" s="8" t="n">
        <v>46176</v>
      </c>
      <c r="B207" s="7" t="s">
        <v>186</v>
      </c>
      <c r="C207" s="7" t="s">
        <v>162</v>
      </c>
      <c r="D207" s="7" t="s">
        <v>39</v>
      </c>
      <c r="E207" s="7" t="s">
        <v>165</v>
      </c>
      <c r="F207" s="7" t="n">
        <v>7</v>
      </c>
      <c r="G207" s="7" t="n">
        <v>597</v>
      </c>
      <c r="H207" s="10" t="n">
        <v>0.0117252931323283</v>
      </c>
      <c r="I207" s="7" t="n">
        <v>11.39</v>
      </c>
      <c r="J207" s="7" t="s">
        <v>181</v>
      </c>
      <c r="K207" s="7" t="s">
        <v>187</v>
      </c>
      <c r="L207" s="7" t="s">
        <v>188</v>
      </c>
      <c r="M207" s="3"/>
      <c r="N207" s="3"/>
      <c r="O207" s="3"/>
      <c r="P207" s="3"/>
    </row>
    <row r="208" customFormat="false" ht="15.75" hidden="false" customHeight="true" outlineLevel="0" collapsed="false">
      <c r="A208" s="8" t="n">
        <v>46176</v>
      </c>
      <c r="B208" s="7" t="s">
        <v>189</v>
      </c>
      <c r="C208" s="7" t="s">
        <v>163</v>
      </c>
      <c r="D208" s="7" t="s">
        <v>39</v>
      </c>
      <c r="E208" s="7" t="s">
        <v>160</v>
      </c>
      <c r="F208" s="7" t="n">
        <v>8</v>
      </c>
      <c r="G208" s="7" t="n">
        <v>637</v>
      </c>
      <c r="H208" s="10" t="n">
        <v>0.0125588697017269</v>
      </c>
      <c r="I208" s="7" t="n">
        <v>12.4</v>
      </c>
      <c r="J208" s="7" t="s">
        <v>181</v>
      </c>
      <c r="K208" s="7" t="s">
        <v>187</v>
      </c>
      <c r="L208" s="7" t="s">
        <v>190</v>
      </c>
      <c r="M208" s="3"/>
      <c r="N208" s="3"/>
      <c r="O208" s="3"/>
      <c r="P208" s="3"/>
    </row>
    <row r="209" customFormat="false" ht="15.75" hidden="false" customHeight="true" outlineLevel="0" collapsed="false">
      <c r="A209" s="8" t="n">
        <v>46176</v>
      </c>
      <c r="B209" s="7" t="s">
        <v>191</v>
      </c>
      <c r="C209" s="7" t="s">
        <v>166</v>
      </c>
      <c r="D209" s="7" t="s">
        <v>39</v>
      </c>
      <c r="E209" s="7" t="s">
        <v>160</v>
      </c>
      <c r="F209" s="7" t="n">
        <v>77</v>
      </c>
      <c r="G209" s="7" t="n">
        <v>484</v>
      </c>
      <c r="H209" s="10" t="n">
        <v>0.159090909090909</v>
      </c>
      <c r="I209" s="7" t="n">
        <v>1.7</v>
      </c>
      <c r="J209" s="7" t="s">
        <v>178</v>
      </c>
      <c r="K209" s="7" t="s">
        <v>192</v>
      </c>
      <c r="L209" s="7" t="s">
        <v>178</v>
      </c>
      <c r="M209" s="3"/>
      <c r="N209" s="3"/>
      <c r="O209" s="3"/>
      <c r="P209" s="3"/>
    </row>
    <row r="210" customFormat="false" ht="15.75" hidden="false" customHeight="true" outlineLevel="0" collapsed="false">
      <c r="A210" s="8" t="n">
        <v>46177</v>
      </c>
      <c r="B210" s="7" t="s">
        <v>177</v>
      </c>
      <c r="C210" s="7" t="s">
        <v>164</v>
      </c>
      <c r="D210" s="7" t="s">
        <v>39</v>
      </c>
      <c r="E210" s="7" t="s">
        <v>160</v>
      </c>
      <c r="F210" s="7" t="n">
        <v>73</v>
      </c>
      <c r="G210" s="7" t="n">
        <v>460</v>
      </c>
      <c r="H210" s="10" t="n">
        <v>0.158695652173913</v>
      </c>
      <c r="I210" s="7" t="n">
        <v>1.77</v>
      </c>
      <c r="J210" s="7" t="s">
        <v>178</v>
      </c>
      <c r="K210" s="7" t="s">
        <v>179</v>
      </c>
      <c r="L210" s="7" t="s">
        <v>178</v>
      </c>
      <c r="M210" s="3"/>
      <c r="N210" s="3"/>
      <c r="O210" s="3"/>
      <c r="P210" s="3"/>
    </row>
    <row r="211" customFormat="false" ht="15.75" hidden="false" customHeight="true" outlineLevel="0" collapsed="false">
      <c r="A211" s="8" t="n">
        <v>46177</v>
      </c>
      <c r="B211" s="7" t="s">
        <v>180</v>
      </c>
      <c r="C211" s="7" t="s">
        <v>157</v>
      </c>
      <c r="D211" s="7" t="s">
        <v>39</v>
      </c>
      <c r="E211" s="7" t="s">
        <v>160</v>
      </c>
      <c r="F211" s="7" t="n">
        <v>24</v>
      </c>
      <c r="G211" s="7" t="n">
        <v>870</v>
      </c>
      <c r="H211" s="10" t="n">
        <v>0.0275862068965517</v>
      </c>
      <c r="I211" s="7" t="n">
        <v>7.94</v>
      </c>
      <c r="J211" s="7" t="s">
        <v>181</v>
      </c>
      <c r="K211" s="7" t="s">
        <v>182</v>
      </c>
      <c r="L211" s="7" t="s">
        <v>183</v>
      </c>
      <c r="M211" s="3"/>
      <c r="N211" s="3"/>
      <c r="O211" s="3"/>
      <c r="P211" s="3"/>
    </row>
    <row r="212" customFormat="false" ht="15.75" hidden="false" customHeight="true" outlineLevel="0" collapsed="false">
      <c r="A212" s="8" t="n">
        <v>46177</v>
      </c>
      <c r="B212" s="7" t="s">
        <v>184</v>
      </c>
      <c r="C212" s="7" t="s">
        <v>161</v>
      </c>
      <c r="D212" s="7" t="s">
        <v>39</v>
      </c>
      <c r="E212" s="7" t="s">
        <v>160</v>
      </c>
      <c r="F212" s="7" t="n">
        <v>25</v>
      </c>
      <c r="G212" s="7" t="n">
        <v>926</v>
      </c>
      <c r="H212" s="10" t="n">
        <v>0.0269978401727862</v>
      </c>
      <c r="I212" s="7" t="n">
        <v>7.21</v>
      </c>
      <c r="J212" s="7" t="s">
        <v>181</v>
      </c>
      <c r="K212" s="7" t="s">
        <v>182</v>
      </c>
      <c r="L212" s="7" t="s">
        <v>185</v>
      </c>
      <c r="M212" s="3"/>
      <c r="N212" s="3"/>
      <c r="O212" s="3"/>
      <c r="P212" s="3"/>
    </row>
    <row r="213" customFormat="false" ht="15.75" hidden="false" customHeight="true" outlineLevel="0" collapsed="false">
      <c r="A213" s="8" t="n">
        <v>46177</v>
      </c>
      <c r="B213" s="7" t="s">
        <v>186</v>
      </c>
      <c r="C213" s="7" t="s">
        <v>162</v>
      </c>
      <c r="D213" s="7" t="s">
        <v>39</v>
      </c>
      <c r="E213" s="7" t="s">
        <v>165</v>
      </c>
      <c r="F213" s="7" t="n">
        <v>8</v>
      </c>
      <c r="G213" s="7" t="n">
        <v>649</v>
      </c>
      <c r="H213" s="10" t="n">
        <v>0.012326656394453</v>
      </c>
      <c r="I213" s="7" t="n">
        <v>11.31</v>
      </c>
      <c r="J213" s="7" t="s">
        <v>181</v>
      </c>
      <c r="K213" s="7" t="s">
        <v>187</v>
      </c>
      <c r="L213" s="7" t="s">
        <v>188</v>
      </c>
      <c r="M213" s="3"/>
      <c r="N213" s="3"/>
      <c r="O213" s="3"/>
      <c r="P213" s="3"/>
    </row>
    <row r="214" customFormat="false" ht="15.75" hidden="false" customHeight="true" outlineLevel="0" collapsed="false">
      <c r="A214" s="8" t="n">
        <v>46177</v>
      </c>
      <c r="B214" s="7" t="s">
        <v>189</v>
      </c>
      <c r="C214" s="7" t="s">
        <v>163</v>
      </c>
      <c r="D214" s="7" t="s">
        <v>39</v>
      </c>
      <c r="E214" s="7" t="s">
        <v>160</v>
      </c>
      <c r="F214" s="7" t="n">
        <v>8</v>
      </c>
      <c r="G214" s="7" t="n">
        <v>627</v>
      </c>
      <c r="H214" s="10" t="n">
        <v>0.0127591706539075</v>
      </c>
      <c r="I214" s="7" t="n">
        <v>12.12</v>
      </c>
      <c r="J214" s="7" t="s">
        <v>181</v>
      </c>
      <c r="K214" s="7" t="s">
        <v>187</v>
      </c>
      <c r="L214" s="7" t="s">
        <v>190</v>
      </c>
      <c r="M214" s="3"/>
      <c r="N214" s="3"/>
      <c r="O214" s="3"/>
      <c r="P214" s="3"/>
    </row>
    <row r="215" customFormat="false" ht="15.75" hidden="false" customHeight="true" outlineLevel="0" collapsed="false">
      <c r="A215" s="8" t="n">
        <v>46177</v>
      </c>
      <c r="B215" s="7" t="s">
        <v>191</v>
      </c>
      <c r="C215" s="7" t="s">
        <v>166</v>
      </c>
      <c r="D215" s="7" t="s">
        <v>39</v>
      </c>
      <c r="E215" s="7" t="s">
        <v>160</v>
      </c>
      <c r="F215" s="7" t="n">
        <v>76</v>
      </c>
      <c r="G215" s="7" t="n">
        <v>481</v>
      </c>
      <c r="H215" s="10" t="n">
        <v>0.158004158004158</v>
      </c>
      <c r="I215" s="7" t="n">
        <v>1.93</v>
      </c>
      <c r="J215" s="7" t="s">
        <v>178</v>
      </c>
      <c r="K215" s="7" t="s">
        <v>192</v>
      </c>
      <c r="L215" s="7" t="s">
        <v>178</v>
      </c>
      <c r="M215" s="3"/>
      <c r="N215" s="3"/>
      <c r="O215" s="3"/>
      <c r="P215" s="3"/>
    </row>
    <row r="216" customFormat="false" ht="15.75" hidden="false" customHeight="true" outlineLevel="0" collapsed="false">
      <c r="A216" s="8" t="n">
        <v>46178</v>
      </c>
      <c r="B216" s="7" t="s">
        <v>177</v>
      </c>
      <c r="C216" s="7" t="s">
        <v>164</v>
      </c>
      <c r="D216" s="7" t="s">
        <v>39</v>
      </c>
      <c r="E216" s="7" t="s">
        <v>160</v>
      </c>
      <c r="F216" s="7" t="n">
        <v>76</v>
      </c>
      <c r="G216" s="7" t="n">
        <v>481</v>
      </c>
      <c r="H216" s="10" t="n">
        <v>0.158004158004158</v>
      </c>
      <c r="I216" s="7" t="n">
        <v>1.88</v>
      </c>
      <c r="J216" s="7" t="s">
        <v>178</v>
      </c>
      <c r="K216" s="7" t="s">
        <v>179</v>
      </c>
      <c r="L216" s="7" t="s">
        <v>178</v>
      </c>
      <c r="M216" s="3"/>
      <c r="N216" s="3"/>
      <c r="O216" s="3"/>
      <c r="P216" s="3"/>
    </row>
    <row r="217" customFormat="false" ht="15.75" hidden="false" customHeight="true" outlineLevel="0" collapsed="false">
      <c r="A217" s="8" t="n">
        <v>46178</v>
      </c>
      <c r="B217" s="7" t="s">
        <v>180</v>
      </c>
      <c r="C217" s="7" t="s">
        <v>157</v>
      </c>
      <c r="D217" s="7" t="s">
        <v>39</v>
      </c>
      <c r="E217" s="7" t="s">
        <v>165</v>
      </c>
      <c r="F217" s="7" t="n">
        <v>26</v>
      </c>
      <c r="G217" s="7" t="n">
        <v>955</v>
      </c>
      <c r="H217" s="10" t="n">
        <v>0.0272251308900524</v>
      </c>
      <c r="I217" s="7" t="n">
        <v>7.32</v>
      </c>
      <c r="J217" s="7" t="s">
        <v>181</v>
      </c>
      <c r="K217" s="7" t="s">
        <v>182</v>
      </c>
      <c r="L217" s="7" t="s">
        <v>183</v>
      </c>
      <c r="M217" s="3"/>
      <c r="N217" s="3"/>
      <c r="O217" s="3"/>
      <c r="P217" s="3"/>
    </row>
    <row r="218" customFormat="false" ht="15.75" hidden="false" customHeight="true" outlineLevel="0" collapsed="false">
      <c r="A218" s="8" t="n">
        <v>46178</v>
      </c>
      <c r="B218" s="7" t="s">
        <v>184</v>
      </c>
      <c r="C218" s="7" t="s">
        <v>161</v>
      </c>
      <c r="D218" s="7" t="s">
        <v>39</v>
      </c>
      <c r="E218" s="7" t="s">
        <v>160</v>
      </c>
      <c r="F218" s="7" t="n">
        <v>24</v>
      </c>
      <c r="G218" s="7" t="n">
        <v>877</v>
      </c>
      <c r="H218" s="10" t="n">
        <v>0.0273660205245154</v>
      </c>
      <c r="I218" s="7" t="n">
        <v>8.03</v>
      </c>
      <c r="J218" s="7" t="s">
        <v>181</v>
      </c>
      <c r="K218" s="7" t="s">
        <v>182</v>
      </c>
      <c r="L218" s="7" t="s">
        <v>185</v>
      </c>
      <c r="M218" s="3"/>
      <c r="N218" s="3"/>
      <c r="O218" s="3"/>
      <c r="P218" s="3"/>
    </row>
    <row r="219" customFormat="false" ht="15.75" hidden="false" customHeight="true" outlineLevel="0" collapsed="false">
      <c r="A219" s="8" t="n">
        <v>46178</v>
      </c>
      <c r="B219" s="7" t="s">
        <v>186</v>
      </c>
      <c r="C219" s="7" t="s">
        <v>162</v>
      </c>
      <c r="D219" s="7" t="s">
        <v>39</v>
      </c>
      <c r="E219" s="7" t="s">
        <v>165</v>
      </c>
      <c r="F219" s="7" t="n">
        <v>8</v>
      </c>
      <c r="G219" s="7" t="n">
        <v>637</v>
      </c>
      <c r="H219" s="10" t="n">
        <v>0.0125588697017269</v>
      </c>
      <c r="I219" s="7" t="n">
        <v>11.12</v>
      </c>
      <c r="J219" s="7" t="s">
        <v>181</v>
      </c>
      <c r="K219" s="7" t="s">
        <v>187</v>
      </c>
      <c r="L219" s="7" t="s">
        <v>188</v>
      </c>
      <c r="M219" s="3"/>
      <c r="N219" s="3"/>
      <c r="O219" s="3"/>
      <c r="P219" s="3"/>
    </row>
    <row r="220" customFormat="false" ht="15.75" hidden="false" customHeight="true" outlineLevel="0" collapsed="false">
      <c r="A220" s="8" t="n">
        <v>46178</v>
      </c>
      <c r="B220" s="7" t="s">
        <v>189</v>
      </c>
      <c r="C220" s="7" t="s">
        <v>163</v>
      </c>
      <c r="D220" s="7" t="s">
        <v>39</v>
      </c>
      <c r="E220" s="7" t="s">
        <v>165</v>
      </c>
      <c r="F220" s="7" t="n">
        <v>9</v>
      </c>
      <c r="G220" s="7" t="n">
        <v>708</v>
      </c>
      <c r="H220" s="10" t="n">
        <v>0.0127118644067797</v>
      </c>
      <c r="I220" s="7" t="n">
        <v>11.36</v>
      </c>
      <c r="J220" s="7" t="s">
        <v>181</v>
      </c>
      <c r="K220" s="7" t="s">
        <v>187</v>
      </c>
      <c r="L220" s="7" t="s">
        <v>190</v>
      </c>
      <c r="M220" s="3"/>
      <c r="N220" s="3"/>
      <c r="O220" s="3"/>
      <c r="P220" s="3"/>
    </row>
    <row r="221" customFormat="false" ht="15.75" hidden="false" customHeight="true" outlineLevel="0" collapsed="false">
      <c r="A221" s="8" t="n">
        <v>46178</v>
      </c>
      <c r="B221" s="7" t="s">
        <v>191</v>
      </c>
      <c r="C221" s="7" t="s">
        <v>166</v>
      </c>
      <c r="D221" s="7" t="s">
        <v>39</v>
      </c>
      <c r="E221" s="7" t="s">
        <v>160</v>
      </c>
      <c r="F221" s="7" t="n">
        <v>95</v>
      </c>
      <c r="G221" s="7" t="n">
        <v>595</v>
      </c>
      <c r="H221" s="10" t="n">
        <v>0.159663865546219</v>
      </c>
      <c r="I221" s="7" t="n">
        <v>1.65</v>
      </c>
      <c r="J221" s="7" t="s">
        <v>178</v>
      </c>
      <c r="K221" s="7" t="s">
        <v>192</v>
      </c>
      <c r="L221" s="7" t="s">
        <v>178</v>
      </c>
      <c r="M221" s="3"/>
      <c r="N221" s="3"/>
      <c r="O221" s="3"/>
      <c r="P221" s="3"/>
    </row>
    <row r="222" customFormat="false" ht="15.75" hidden="false" customHeight="true" outlineLevel="0" collapsed="false">
      <c r="A222" s="8" t="n">
        <v>46179</v>
      </c>
      <c r="B222" s="7" t="s">
        <v>177</v>
      </c>
      <c r="C222" s="7" t="s">
        <v>164</v>
      </c>
      <c r="D222" s="7" t="s">
        <v>39</v>
      </c>
      <c r="E222" s="7" t="s">
        <v>160</v>
      </c>
      <c r="F222" s="7" t="n">
        <v>96</v>
      </c>
      <c r="G222" s="7" t="n">
        <v>603</v>
      </c>
      <c r="H222" s="10" t="n">
        <v>0.159203980099503</v>
      </c>
      <c r="I222" s="7" t="n">
        <v>2.14</v>
      </c>
      <c r="J222" s="7" t="s">
        <v>178</v>
      </c>
      <c r="K222" s="7" t="s">
        <v>179</v>
      </c>
      <c r="L222" s="7" t="s">
        <v>178</v>
      </c>
      <c r="M222" s="3"/>
      <c r="N222" s="3"/>
      <c r="O222" s="3"/>
      <c r="P222" s="3"/>
    </row>
    <row r="223" customFormat="false" ht="15.75" hidden="false" customHeight="true" outlineLevel="0" collapsed="false">
      <c r="A223" s="8" t="n">
        <v>46179</v>
      </c>
      <c r="B223" s="7" t="s">
        <v>180</v>
      </c>
      <c r="C223" s="7" t="s">
        <v>157</v>
      </c>
      <c r="D223" s="7" t="s">
        <v>39</v>
      </c>
      <c r="E223" s="7" t="s">
        <v>160</v>
      </c>
      <c r="F223" s="7" t="n">
        <v>26</v>
      </c>
      <c r="G223" s="7" t="n">
        <v>935</v>
      </c>
      <c r="H223" s="10" t="n">
        <v>0.027807486631016</v>
      </c>
      <c r="I223" s="7" t="n">
        <v>7.35</v>
      </c>
      <c r="J223" s="7" t="s">
        <v>181</v>
      </c>
      <c r="K223" s="7" t="s">
        <v>182</v>
      </c>
      <c r="L223" s="7" t="s">
        <v>183</v>
      </c>
      <c r="M223" s="3"/>
      <c r="N223" s="3"/>
      <c r="O223" s="3"/>
      <c r="P223" s="3"/>
    </row>
    <row r="224" customFormat="false" ht="15.75" hidden="false" customHeight="true" outlineLevel="0" collapsed="false">
      <c r="A224" s="8" t="n">
        <v>46179</v>
      </c>
      <c r="B224" s="7" t="s">
        <v>184</v>
      </c>
      <c r="C224" s="7" t="s">
        <v>161</v>
      </c>
      <c r="D224" s="7" t="s">
        <v>39</v>
      </c>
      <c r="E224" s="7" t="s">
        <v>160</v>
      </c>
      <c r="F224" s="7" t="n">
        <v>26</v>
      </c>
      <c r="G224" s="7" t="n">
        <v>930</v>
      </c>
      <c r="H224" s="10" t="n">
        <v>0.0279569892473118</v>
      </c>
      <c r="I224" s="7" t="n">
        <v>8.07</v>
      </c>
      <c r="J224" s="7" t="s">
        <v>181</v>
      </c>
      <c r="K224" s="7" t="s">
        <v>182</v>
      </c>
      <c r="L224" s="7" t="s">
        <v>185</v>
      </c>
      <c r="M224" s="3"/>
      <c r="N224" s="3"/>
      <c r="O224" s="3"/>
      <c r="P224" s="3"/>
    </row>
    <row r="225" customFormat="false" ht="15.75" hidden="false" customHeight="true" outlineLevel="0" collapsed="false">
      <c r="A225" s="8" t="n">
        <v>46179</v>
      </c>
      <c r="B225" s="7" t="s">
        <v>186</v>
      </c>
      <c r="C225" s="7" t="s">
        <v>162</v>
      </c>
      <c r="D225" s="7" t="s">
        <v>39</v>
      </c>
      <c r="E225" s="7" t="s">
        <v>160</v>
      </c>
      <c r="F225" s="7" t="n">
        <v>9</v>
      </c>
      <c r="G225" s="7" t="n">
        <v>729</v>
      </c>
      <c r="H225" s="10" t="n">
        <v>0.0123456790123457</v>
      </c>
      <c r="I225" s="7" t="n">
        <v>11.66</v>
      </c>
      <c r="J225" s="7" t="s">
        <v>181</v>
      </c>
      <c r="K225" s="7" t="s">
        <v>187</v>
      </c>
      <c r="L225" s="7" t="s">
        <v>188</v>
      </c>
      <c r="M225" s="3"/>
      <c r="N225" s="3"/>
      <c r="O225" s="3"/>
      <c r="P225" s="3"/>
    </row>
    <row r="226" customFormat="false" ht="15.75" hidden="false" customHeight="true" outlineLevel="0" collapsed="false">
      <c r="A226" s="8" t="n">
        <v>46179</v>
      </c>
      <c r="B226" s="7" t="s">
        <v>189</v>
      </c>
      <c r="C226" s="7" t="s">
        <v>163</v>
      </c>
      <c r="D226" s="7" t="s">
        <v>39</v>
      </c>
      <c r="E226" s="7" t="s">
        <v>160</v>
      </c>
      <c r="F226" s="7" t="n">
        <v>8</v>
      </c>
      <c r="G226" s="7" t="n">
        <v>621</v>
      </c>
      <c r="H226" s="10" t="n">
        <v>0.0128824476650564</v>
      </c>
      <c r="I226" s="7" t="n">
        <v>11.16</v>
      </c>
      <c r="J226" s="7" t="s">
        <v>181</v>
      </c>
      <c r="K226" s="7" t="s">
        <v>187</v>
      </c>
      <c r="L226" s="7" t="s">
        <v>190</v>
      </c>
      <c r="M226" s="3"/>
      <c r="N226" s="3"/>
      <c r="O226" s="3"/>
      <c r="P226" s="3"/>
    </row>
    <row r="227" customFormat="false" ht="15.75" hidden="false" customHeight="true" outlineLevel="0" collapsed="false">
      <c r="A227" s="8" t="n">
        <v>46179</v>
      </c>
      <c r="B227" s="7" t="s">
        <v>191</v>
      </c>
      <c r="C227" s="7" t="s">
        <v>166</v>
      </c>
      <c r="D227" s="7" t="s">
        <v>39</v>
      </c>
      <c r="E227" s="7" t="s">
        <v>160</v>
      </c>
      <c r="F227" s="7" t="n">
        <v>80</v>
      </c>
      <c r="G227" s="7" t="n">
        <v>504</v>
      </c>
      <c r="H227" s="10" t="n">
        <v>0.158730158730159</v>
      </c>
      <c r="I227" s="7" t="n">
        <v>2.85</v>
      </c>
      <c r="J227" s="7" t="s">
        <v>178</v>
      </c>
      <c r="K227" s="7" t="s">
        <v>192</v>
      </c>
      <c r="L227" s="7" t="s">
        <v>178</v>
      </c>
      <c r="M227" s="3"/>
      <c r="N227" s="3"/>
      <c r="O227" s="3"/>
      <c r="P227" s="3"/>
    </row>
    <row r="228" customFormat="false" ht="15.75" hidden="false" customHeight="true" outlineLevel="0" collapsed="false">
      <c r="A228" s="8" t="n">
        <v>46180</v>
      </c>
      <c r="B228" s="7" t="s">
        <v>177</v>
      </c>
      <c r="C228" s="7" t="s">
        <v>164</v>
      </c>
      <c r="D228" s="7" t="s">
        <v>39</v>
      </c>
      <c r="E228" s="7" t="s">
        <v>160</v>
      </c>
      <c r="F228" s="7" t="n">
        <v>89</v>
      </c>
      <c r="G228" s="7" t="n">
        <v>558</v>
      </c>
      <c r="H228" s="10" t="n">
        <v>0.159498207885305</v>
      </c>
      <c r="I228" s="7" t="n">
        <v>2.62</v>
      </c>
      <c r="J228" s="7" t="s">
        <v>178</v>
      </c>
      <c r="K228" s="7" t="s">
        <v>179</v>
      </c>
      <c r="L228" s="7" t="s">
        <v>178</v>
      </c>
      <c r="M228" s="3"/>
      <c r="N228" s="3"/>
      <c r="O228" s="3"/>
      <c r="P228" s="3"/>
    </row>
    <row r="229" customFormat="false" ht="15.75" hidden="false" customHeight="true" outlineLevel="0" collapsed="false">
      <c r="A229" s="8" t="n">
        <v>46180</v>
      </c>
      <c r="B229" s="7" t="s">
        <v>180</v>
      </c>
      <c r="C229" s="7" t="s">
        <v>157</v>
      </c>
      <c r="D229" s="7" t="s">
        <v>39</v>
      </c>
      <c r="E229" s="7" t="s">
        <v>160</v>
      </c>
      <c r="F229" s="7" t="n">
        <v>23</v>
      </c>
      <c r="G229" s="7" t="n">
        <v>826</v>
      </c>
      <c r="H229" s="10" t="n">
        <v>0.0278450363196126</v>
      </c>
      <c r="I229" s="7" t="n">
        <v>7.35</v>
      </c>
      <c r="J229" s="7" t="s">
        <v>181</v>
      </c>
      <c r="K229" s="7" t="s">
        <v>182</v>
      </c>
      <c r="L229" s="7" t="s">
        <v>183</v>
      </c>
      <c r="M229" s="3"/>
      <c r="N229" s="3"/>
      <c r="O229" s="3"/>
      <c r="P229" s="3"/>
    </row>
    <row r="230" customFormat="false" ht="15.75" hidden="false" customHeight="true" outlineLevel="0" collapsed="false">
      <c r="A230" s="8" t="n">
        <v>46180</v>
      </c>
      <c r="B230" s="7" t="s">
        <v>184</v>
      </c>
      <c r="C230" s="7" t="s">
        <v>161</v>
      </c>
      <c r="D230" s="7" t="s">
        <v>39</v>
      </c>
      <c r="E230" s="7" t="s">
        <v>165</v>
      </c>
      <c r="F230" s="7" t="n">
        <v>22</v>
      </c>
      <c r="G230" s="7" t="n">
        <v>813</v>
      </c>
      <c r="H230" s="10" t="n">
        <v>0.027060270602706</v>
      </c>
      <c r="I230" s="7" t="n">
        <v>6.93</v>
      </c>
      <c r="J230" s="7" t="s">
        <v>181</v>
      </c>
      <c r="K230" s="7" t="s">
        <v>182</v>
      </c>
      <c r="L230" s="7" t="s">
        <v>185</v>
      </c>
      <c r="M230" s="3"/>
      <c r="N230" s="3"/>
      <c r="O230" s="3"/>
      <c r="P230" s="3"/>
    </row>
    <row r="231" customFormat="false" ht="15.75" hidden="false" customHeight="true" outlineLevel="0" collapsed="false">
      <c r="A231" s="8" t="n">
        <v>46180</v>
      </c>
      <c r="B231" s="7" t="s">
        <v>186</v>
      </c>
      <c r="C231" s="7" t="s">
        <v>162</v>
      </c>
      <c r="D231" s="7" t="s">
        <v>39</v>
      </c>
      <c r="E231" s="7" t="s">
        <v>160</v>
      </c>
      <c r="F231" s="7" t="n">
        <v>8</v>
      </c>
      <c r="G231" s="7" t="n">
        <v>666</v>
      </c>
      <c r="H231" s="10" t="n">
        <v>0.012012012012012</v>
      </c>
      <c r="I231" s="7" t="n">
        <v>11.46</v>
      </c>
      <c r="J231" s="7" t="s">
        <v>181</v>
      </c>
      <c r="K231" s="7" t="s">
        <v>187</v>
      </c>
      <c r="L231" s="7" t="s">
        <v>188</v>
      </c>
      <c r="M231" s="3"/>
      <c r="N231" s="3"/>
      <c r="O231" s="3"/>
      <c r="P231" s="3"/>
    </row>
    <row r="232" customFormat="false" ht="15.75" hidden="false" customHeight="true" outlineLevel="0" collapsed="false">
      <c r="A232" s="8" t="n">
        <v>46180</v>
      </c>
      <c r="B232" s="7" t="s">
        <v>189</v>
      </c>
      <c r="C232" s="7" t="s">
        <v>163</v>
      </c>
      <c r="D232" s="7" t="s">
        <v>39</v>
      </c>
      <c r="E232" s="7" t="s">
        <v>160</v>
      </c>
      <c r="F232" s="7" t="n">
        <v>8</v>
      </c>
      <c r="G232" s="7" t="n">
        <v>674</v>
      </c>
      <c r="H232" s="10" t="n">
        <v>0.0118694362017804</v>
      </c>
      <c r="I232" s="7" t="n">
        <v>12.06</v>
      </c>
      <c r="J232" s="7" t="s">
        <v>181</v>
      </c>
      <c r="K232" s="7" t="s">
        <v>187</v>
      </c>
      <c r="L232" s="7" t="s">
        <v>190</v>
      </c>
      <c r="M232" s="3"/>
      <c r="N232" s="3"/>
      <c r="O232" s="3"/>
      <c r="P232" s="3"/>
    </row>
    <row r="233" customFormat="false" ht="15.75" hidden="false" customHeight="true" outlineLevel="0" collapsed="false">
      <c r="A233" s="8" t="n">
        <v>46180</v>
      </c>
      <c r="B233" s="7" t="s">
        <v>191</v>
      </c>
      <c r="C233" s="7" t="s">
        <v>166</v>
      </c>
      <c r="D233" s="7" t="s">
        <v>39</v>
      </c>
      <c r="E233" s="7" t="s">
        <v>160</v>
      </c>
      <c r="F233" s="7" t="n">
        <v>84</v>
      </c>
      <c r="G233" s="7" t="n">
        <v>531</v>
      </c>
      <c r="H233" s="10" t="n">
        <v>0.15819209039548</v>
      </c>
      <c r="I233" s="7" t="n">
        <v>1.73</v>
      </c>
      <c r="J233" s="7" t="s">
        <v>178</v>
      </c>
      <c r="K233" s="7" t="s">
        <v>192</v>
      </c>
      <c r="L233" s="7" t="s">
        <v>178</v>
      </c>
      <c r="M233" s="3"/>
      <c r="N233" s="3"/>
      <c r="O233" s="3"/>
      <c r="P233" s="3"/>
    </row>
    <row r="234" customFormat="false" ht="15.75" hidden="false" customHeight="true" outlineLevel="0" collapsed="false">
      <c r="A234" s="8" t="n">
        <v>46181</v>
      </c>
      <c r="B234" s="7" t="s">
        <v>177</v>
      </c>
      <c r="C234" s="7" t="s">
        <v>164</v>
      </c>
      <c r="D234" s="7" t="s">
        <v>39</v>
      </c>
      <c r="E234" s="7" t="s">
        <v>160</v>
      </c>
      <c r="F234" s="7" t="n">
        <v>95</v>
      </c>
      <c r="G234" s="7" t="n">
        <v>598</v>
      </c>
      <c r="H234" s="10" t="n">
        <v>0.158862876254181</v>
      </c>
      <c r="I234" s="7" t="n">
        <v>2.31</v>
      </c>
      <c r="J234" s="7" t="s">
        <v>178</v>
      </c>
      <c r="K234" s="7" t="s">
        <v>179</v>
      </c>
      <c r="L234" s="7" t="s">
        <v>178</v>
      </c>
      <c r="M234" s="3"/>
      <c r="N234" s="3"/>
      <c r="O234" s="3"/>
      <c r="P234" s="3"/>
    </row>
    <row r="235" customFormat="false" ht="15.75" hidden="false" customHeight="true" outlineLevel="0" collapsed="false">
      <c r="A235" s="8" t="n">
        <v>46181</v>
      </c>
      <c r="B235" s="7" t="s">
        <v>180</v>
      </c>
      <c r="C235" s="7" t="s">
        <v>157</v>
      </c>
      <c r="D235" s="7" t="s">
        <v>39</v>
      </c>
      <c r="E235" s="7" t="s">
        <v>160</v>
      </c>
      <c r="F235" s="7" t="n">
        <v>26</v>
      </c>
      <c r="G235" s="7" t="n">
        <v>948</v>
      </c>
      <c r="H235" s="10" t="n">
        <v>0.0274261603375527</v>
      </c>
      <c r="I235" s="7" t="n">
        <v>7.52</v>
      </c>
      <c r="J235" s="7" t="s">
        <v>181</v>
      </c>
      <c r="K235" s="7" t="s">
        <v>182</v>
      </c>
      <c r="L235" s="7" t="s">
        <v>183</v>
      </c>
      <c r="M235" s="3"/>
      <c r="N235" s="3"/>
      <c r="O235" s="3"/>
      <c r="P235" s="3"/>
    </row>
    <row r="236" customFormat="false" ht="15.75" hidden="false" customHeight="true" outlineLevel="0" collapsed="false">
      <c r="A236" s="8" t="n">
        <v>46181</v>
      </c>
      <c r="B236" s="7" t="s">
        <v>184</v>
      </c>
      <c r="C236" s="7" t="s">
        <v>161</v>
      </c>
      <c r="D236" s="7" t="s">
        <v>39</v>
      </c>
      <c r="E236" s="7" t="s">
        <v>165</v>
      </c>
      <c r="F236" s="7" t="n">
        <v>26</v>
      </c>
      <c r="G236" s="7" t="n">
        <v>935</v>
      </c>
      <c r="H236" s="10" t="n">
        <v>0.027807486631016</v>
      </c>
      <c r="I236" s="7" t="n">
        <v>7.03</v>
      </c>
      <c r="J236" s="7" t="s">
        <v>181</v>
      </c>
      <c r="K236" s="7" t="s">
        <v>182</v>
      </c>
      <c r="L236" s="7" t="s">
        <v>185</v>
      </c>
      <c r="M236" s="3"/>
      <c r="N236" s="3"/>
      <c r="O236" s="3"/>
      <c r="P236" s="3"/>
    </row>
    <row r="237" customFormat="false" ht="15.75" hidden="false" customHeight="true" outlineLevel="0" collapsed="false">
      <c r="A237" s="8" t="n">
        <v>46181</v>
      </c>
      <c r="B237" s="7" t="s">
        <v>186</v>
      </c>
      <c r="C237" s="7" t="s">
        <v>162</v>
      </c>
      <c r="D237" s="7" t="s">
        <v>39</v>
      </c>
      <c r="E237" s="7" t="s">
        <v>160</v>
      </c>
      <c r="F237" s="7" t="n">
        <v>8</v>
      </c>
      <c r="G237" s="7" t="n">
        <v>621</v>
      </c>
      <c r="H237" s="10" t="n">
        <v>0.0128824476650564</v>
      </c>
      <c r="I237" s="7" t="n">
        <v>11.76</v>
      </c>
      <c r="J237" s="7" t="s">
        <v>181</v>
      </c>
      <c r="K237" s="7" t="s">
        <v>187</v>
      </c>
      <c r="L237" s="7" t="s">
        <v>188</v>
      </c>
      <c r="M237" s="3"/>
      <c r="N237" s="3"/>
      <c r="O237" s="3"/>
      <c r="P237" s="3"/>
    </row>
    <row r="238" customFormat="false" ht="15.75" hidden="false" customHeight="true" outlineLevel="0" collapsed="false">
      <c r="A238" s="8" t="n">
        <v>46181</v>
      </c>
      <c r="B238" s="7" t="s">
        <v>189</v>
      </c>
      <c r="C238" s="7" t="s">
        <v>163</v>
      </c>
      <c r="D238" s="7" t="s">
        <v>39</v>
      </c>
      <c r="E238" s="7" t="s">
        <v>165</v>
      </c>
      <c r="F238" s="7" t="n">
        <v>8</v>
      </c>
      <c r="G238" s="7" t="n">
        <v>653</v>
      </c>
      <c r="H238" s="10" t="n">
        <v>0.0122511485451761</v>
      </c>
      <c r="I238" s="7" t="n">
        <v>12.17</v>
      </c>
      <c r="J238" s="7" t="s">
        <v>181</v>
      </c>
      <c r="K238" s="7" t="s">
        <v>187</v>
      </c>
      <c r="L238" s="7" t="s">
        <v>190</v>
      </c>
      <c r="M238" s="3"/>
      <c r="N238" s="3"/>
      <c r="O238" s="3"/>
      <c r="P238" s="3"/>
    </row>
    <row r="239" customFormat="false" ht="15.75" hidden="false" customHeight="true" outlineLevel="0" collapsed="false">
      <c r="A239" s="8" t="n">
        <v>46181</v>
      </c>
      <c r="B239" s="7" t="s">
        <v>191</v>
      </c>
      <c r="C239" s="7" t="s">
        <v>166</v>
      </c>
      <c r="D239" s="7" t="s">
        <v>39</v>
      </c>
      <c r="E239" s="7" t="s">
        <v>160</v>
      </c>
      <c r="F239" s="7" t="n">
        <v>84</v>
      </c>
      <c r="G239" s="7" t="n">
        <v>530</v>
      </c>
      <c r="H239" s="10" t="n">
        <v>0.158490566037736</v>
      </c>
      <c r="I239" s="7" t="n">
        <v>1.83</v>
      </c>
      <c r="J239" s="7" t="s">
        <v>178</v>
      </c>
      <c r="K239" s="7" t="s">
        <v>192</v>
      </c>
      <c r="L239" s="7" t="s">
        <v>178</v>
      </c>
      <c r="M239" s="3"/>
      <c r="N239" s="3"/>
      <c r="O239" s="3"/>
      <c r="P239" s="3"/>
    </row>
    <row r="240" customFormat="false" ht="15.75" hidden="false" customHeight="true" outlineLevel="0" collapsed="false">
      <c r="A240" s="8" t="n">
        <v>46182</v>
      </c>
      <c r="B240" s="7" t="s">
        <v>177</v>
      </c>
      <c r="C240" s="7" t="s">
        <v>164</v>
      </c>
      <c r="D240" s="7" t="s">
        <v>39</v>
      </c>
      <c r="E240" s="7" t="s">
        <v>160</v>
      </c>
      <c r="F240" s="7" t="n">
        <v>78</v>
      </c>
      <c r="G240" s="7" t="n">
        <v>490</v>
      </c>
      <c r="H240" s="10" t="n">
        <v>0.159183673469388</v>
      </c>
      <c r="I240" s="7" t="n">
        <v>2.48</v>
      </c>
      <c r="J240" s="7" t="s">
        <v>178</v>
      </c>
      <c r="K240" s="7" t="s">
        <v>179</v>
      </c>
      <c r="L240" s="7" t="s">
        <v>178</v>
      </c>
      <c r="M240" s="3"/>
      <c r="N240" s="3"/>
      <c r="O240" s="3"/>
      <c r="P240" s="3"/>
    </row>
    <row r="241" customFormat="false" ht="15.75" hidden="false" customHeight="true" outlineLevel="0" collapsed="false">
      <c r="A241" s="8" t="n">
        <v>46182</v>
      </c>
      <c r="B241" s="7" t="s">
        <v>180</v>
      </c>
      <c r="C241" s="7" t="s">
        <v>157</v>
      </c>
      <c r="D241" s="7" t="s">
        <v>39</v>
      </c>
      <c r="E241" s="7" t="s">
        <v>160</v>
      </c>
      <c r="F241" s="7" t="n">
        <v>23</v>
      </c>
      <c r="G241" s="7" t="n">
        <v>834</v>
      </c>
      <c r="H241" s="10" t="n">
        <v>0.0275779376498801</v>
      </c>
      <c r="I241" s="7" t="n">
        <v>7.59</v>
      </c>
      <c r="J241" s="7" t="s">
        <v>181</v>
      </c>
      <c r="K241" s="7" t="s">
        <v>182</v>
      </c>
      <c r="L241" s="7" t="s">
        <v>183</v>
      </c>
      <c r="M241" s="3"/>
      <c r="N241" s="3"/>
      <c r="O241" s="3"/>
      <c r="P241" s="3"/>
    </row>
    <row r="242" customFormat="false" ht="15.75" hidden="false" customHeight="true" outlineLevel="0" collapsed="false">
      <c r="A242" s="8" t="n">
        <v>46182</v>
      </c>
      <c r="B242" s="7" t="s">
        <v>184</v>
      </c>
      <c r="C242" s="7" t="s">
        <v>161</v>
      </c>
      <c r="D242" s="7" t="s">
        <v>39</v>
      </c>
      <c r="E242" s="7" t="s">
        <v>160</v>
      </c>
      <c r="F242" s="7" t="n">
        <v>26</v>
      </c>
      <c r="G242" s="7" t="n">
        <v>932</v>
      </c>
      <c r="H242" s="10" t="n">
        <v>0.0278969957081545</v>
      </c>
      <c r="I242" s="7" t="n">
        <v>7.48</v>
      </c>
      <c r="J242" s="7" t="s">
        <v>181</v>
      </c>
      <c r="K242" s="7" t="s">
        <v>182</v>
      </c>
      <c r="L242" s="7" t="s">
        <v>185</v>
      </c>
      <c r="M242" s="3"/>
      <c r="N242" s="3"/>
      <c r="O242" s="3"/>
      <c r="P242" s="3"/>
    </row>
    <row r="243" customFormat="false" ht="15.75" hidden="false" customHeight="true" outlineLevel="0" collapsed="false">
      <c r="A243" s="8" t="n">
        <v>46182</v>
      </c>
      <c r="B243" s="7" t="s">
        <v>186</v>
      </c>
      <c r="C243" s="7" t="s">
        <v>162</v>
      </c>
      <c r="D243" s="7" t="s">
        <v>39</v>
      </c>
      <c r="E243" s="7" t="s">
        <v>160</v>
      </c>
      <c r="F243" s="7" t="n">
        <v>9</v>
      </c>
      <c r="G243" s="7" t="n">
        <v>711</v>
      </c>
      <c r="H243" s="10" t="n">
        <v>0.0126582278481013</v>
      </c>
      <c r="I243" s="7" t="n">
        <v>12.01</v>
      </c>
      <c r="J243" s="7" t="s">
        <v>181</v>
      </c>
      <c r="K243" s="7" t="s">
        <v>187</v>
      </c>
      <c r="L243" s="7" t="s">
        <v>188</v>
      </c>
      <c r="M243" s="3"/>
      <c r="N243" s="3"/>
      <c r="O243" s="3"/>
      <c r="P243" s="3"/>
    </row>
    <row r="244" customFormat="false" ht="15.75" hidden="false" customHeight="true" outlineLevel="0" collapsed="false">
      <c r="A244" s="8" t="n">
        <v>46182</v>
      </c>
      <c r="B244" s="7" t="s">
        <v>189</v>
      </c>
      <c r="C244" s="7" t="s">
        <v>163</v>
      </c>
      <c r="D244" s="7" t="s">
        <v>39</v>
      </c>
      <c r="E244" s="7" t="s">
        <v>160</v>
      </c>
      <c r="F244" s="7" t="n">
        <v>9</v>
      </c>
      <c r="G244" s="7" t="n">
        <v>707</v>
      </c>
      <c r="H244" s="10" t="n">
        <v>0.0127298444130127</v>
      </c>
      <c r="I244" s="7" t="n">
        <v>11.66</v>
      </c>
      <c r="J244" s="7" t="s">
        <v>181</v>
      </c>
      <c r="K244" s="7" t="s">
        <v>187</v>
      </c>
      <c r="L244" s="7" t="s">
        <v>190</v>
      </c>
      <c r="M244" s="3"/>
      <c r="N244" s="3"/>
      <c r="O244" s="3"/>
      <c r="P244" s="3"/>
    </row>
    <row r="245" customFormat="false" ht="15.75" hidden="false" customHeight="true" outlineLevel="0" collapsed="false">
      <c r="A245" s="8" t="n">
        <v>46182</v>
      </c>
      <c r="B245" s="7" t="s">
        <v>191</v>
      </c>
      <c r="C245" s="7" t="s">
        <v>166</v>
      </c>
      <c r="D245" s="7" t="s">
        <v>39</v>
      </c>
      <c r="E245" s="7" t="s">
        <v>160</v>
      </c>
      <c r="F245" s="7" t="n">
        <v>95</v>
      </c>
      <c r="G245" s="7" t="n">
        <v>595</v>
      </c>
      <c r="H245" s="10" t="n">
        <v>0.159663865546219</v>
      </c>
      <c r="I245" s="7" t="n">
        <v>2.15</v>
      </c>
      <c r="J245" s="7" t="s">
        <v>178</v>
      </c>
      <c r="K245" s="7" t="s">
        <v>192</v>
      </c>
      <c r="L245" s="7" t="s">
        <v>178</v>
      </c>
      <c r="M245" s="3"/>
      <c r="N245" s="3"/>
      <c r="O245" s="3"/>
      <c r="P245" s="3"/>
    </row>
    <row r="246" customFormat="false" ht="15.75" hidden="false" customHeight="true" outlineLevel="0" collapsed="false">
      <c r="A246" s="8" t="n">
        <v>46183</v>
      </c>
      <c r="B246" s="7" t="s">
        <v>177</v>
      </c>
      <c r="C246" s="7" t="s">
        <v>164</v>
      </c>
      <c r="D246" s="7" t="s">
        <v>39</v>
      </c>
      <c r="E246" s="7" t="s">
        <v>160</v>
      </c>
      <c r="F246" s="7" t="n">
        <v>92</v>
      </c>
      <c r="G246" s="7" t="n">
        <v>577</v>
      </c>
      <c r="H246" s="10" t="n">
        <v>0.159445407279029</v>
      </c>
      <c r="I246" s="7" t="n">
        <v>2.39</v>
      </c>
      <c r="J246" s="7" t="s">
        <v>178</v>
      </c>
      <c r="K246" s="7" t="s">
        <v>179</v>
      </c>
      <c r="L246" s="7" t="s">
        <v>178</v>
      </c>
      <c r="M246" s="3"/>
      <c r="N246" s="3"/>
      <c r="O246" s="3"/>
      <c r="P246" s="3"/>
    </row>
    <row r="247" customFormat="false" ht="15.75" hidden="false" customHeight="true" outlineLevel="0" collapsed="false">
      <c r="A247" s="8" t="n">
        <v>46183</v>
      </c>
      <c r="B247" s="7" t="s">
        <v>180</v>
      </c>
      <c r="C247" s="7" t="s">
        <v>157</v>
      </c>
      <c r="D247" s="7" t="s">
        <v>39</v>
      </c>
      <c r="E247" s="7" t="s">
        <v>160</v>
      </c>
      <c r="F247" s="7" t="n">
        <v>23</v>
      </c>
      <c r="G247" s="7" t="n">
        <v>846</v>
      </c>
      <c r="H247" s="10" t="n">
        <v>0.0271867612293144</v>
      </c>
      <c r="I247" s="7" t="n">
        <v>8.06</v>
      </c>
      <c r="J247" s="7" t="s">
        <v>181</v>
      </c>
      <c r="K247" s="7" t="s">
        <v>182</v>
      </c>
      <c r="L247" s="7" t="s">
        <v>183</v>
      </c>
      <c r="M247" s="3"/>
      <c r="N247" s="3"/>
      <c r="O247" s="3"/>
      <c r="P247" s="3"/>
    </row>
    <row r="248" customFormat="false" ht="15.75" hidden="false" customHeight="true" outlineLevel="0" collapsed="false">
      <c r="A248" s="8" t="n">
        <v>46183</v>
      </c>
      <c r="B248" s="7" t="s">
        <v>184</v>
      </c>
      <c r="C248" s="7" t="s">
        <v>161</v>
      </c>
      <c r="D248" s="7" t="s">
        <v>39</v>
      </c>
      <c r="E248" s="7" t="s">
        <v>160</v>
      </c>
      <c r="F248" s="7" t="n">
        <v>25</v>
      </c>
      <c r="G248" s="7" t="n">
        <v>923</v>
      </c>
      <c r="H248" s="10" t="n">
        <v>0.0270855904658722</v>
      </c>
      <c r="I248" s="7" t="n">
        <v>6.77</v>
      </c>
      <c r="J248" s="7" t="s">
        <v>181</v>
      </c>
      <c r="K248" s="7" t="s">
        <v>182</v>
      </c>
      <c r="L248" s="7" t="s">
        <v>185</v>
      </c>
      <c r="M248" s="3"/>
      <c r="N248" s="3"/>
      <c r="O248" s="3"/>
      <c r="P248" s="3"/>
    </row>
    <row r="249" customFormat="false" ht="15.75" hidden="false" customHeight="true" outlineLevel="0" collapsed="false">
      <c r="A249" s="8" t="n">
        <v>46183</v>
      </c>
      <c r="B249" s="7" t="s">
        <v>186</v>
      </c>
      <c r="C249" s="7" t="s">
        <v>162</v>
      </c>
      <c r="D249" s="7" t="s">
        <v>39</v>
      </c>
      <c r="E249" s="7" t="s">
        <v>165</v>
      </c>
      <c r="F249" s="7" t="n">
        <v>7</v>
      </c>
      <c r="G249" s="7" t="n">
        <v>592</v>
      </c>
      <c r="H249" s="10" t="n">
        <v>0.0118243243243243</v>
      </c>
      <c r="I249" s="7" t="n">
        <v>11.43</v>
      </c>
      <c r="J249" s="7" t="s">
        <v>181</v>
      </c>
      <c r="K249" s="7" t="s">
        <v>187</v>
      </c>
      <c r="L249" s="7" t="s">
        <v>188</v>
      </c>
      <c r="M249" s="3"/>
      <c r="N249" s="3"/>
      <c r="O249" s="3"/>
      <c r="P249" s="3"/>
    </row>
    <row r="250" customFormat="false" ht="15.75" hidden="false" customHeight="true" outlineLevel="0" collapsed="false">
      <c r="A250" s="8" t="n">
        <v>46183</v>
      </c>
      <c r="B250" s="7" t="s">
        <v>189</v>
      </c>
      <c r="C250" s="7" t="s">
        <v>163</v>
      </c>
      <c r="D250" s="7" t="s">
        <v>39</v>
      </c>
      <c r="E250" s="7" t="s">
        <v>165</v>
      </c>
      <c r="F250" s="7" t="n">
        <v>7</v>
      </c>
      <c r="G250" s="7" t="n">
        <v>590</v>
      </c>
      <c r="H250" s="10" t="n">
        <v>0.011864406779661</v>
      </c>
      <c r="I250" s="7" t="n">
        <v>11.46</v>
      </c>
      <c r="J250" s="7" t="s">
        <v>181</v>
      </c>
      <c r="K250" s="7" t="s">
        <v>187</v>
      </c>
      <c r="L250" s="7" t="s">
        <v>190</v>
      </c>
      <c r="M250" s="3"/>
      <c r="N250" s="3"/>
      <c r="O250" s="3"/>
      <c r="P250" s="3"/>
    </row>
    <row r="251" customFormat="false" ht="15.75" hidden="false" customHeight="true" outlineLevel="0" collapsed="false">
      <c r="A251" s="8" t="n">
        <v>46183</v>
      </c>
      <c r="B251" s="7" t="s">
        <v>191</v>
      </c>
      <c r="C251" s="7" t="s">
        <v>166</v>
      </c>
      <c r="D251" s="7" t="s">
        <v>39</v>
      </c>
      <c r="E251" s="7" t="s">
        <v>160</v>
      </c>
      <c r="F251" s="7" t="n">
        <v>92</v>
      </c>
      <c r="G251" s="7" t="n">
        <v>579</v>
      </c>
      <c r="H251" s="10" t="n">
        <v>0.158894645941278</v>
      </c>
      <c r="I251" s="7" t="n">
        <v>1.64</v>
      </c>
      <c r="J251" s="7" t="s">
        <v>178</v>
      </c>
      <c r="K251" s="7" t="s">
        <v>192</v>
      </c>
      <c r="L251" s="7" t="s">
        <v>178</v>
      </c>
      <c r="M251" s="3"/>
      <c r="N251" s="3"/>
      <c r="O251" s="3"/>
      <c r="P251" s="3"/>
    </row>
    <row r="252" customFormat="false" ht="15.75" hidden="false" customHeight="true" outlineLevel="0" collapsed="false">
      <c r="A252" s="8" t="n">
        <v>46184</v>
      </c>
      <c r="B252" s="7" t="s">
        <v>177</v>
      </c>
      <c r="C252" s="7" t="s">
        <v>164</v>
      </c>
      <c r="D252" s="7" t="s">
        <v>39</v>
      </c>
      <c r="E252" s="7" t="s">
        <v>160</v>
      </c>
      <c r="F252" s="7" t="n">
        <v>74</v>
      </c>
      <c r="G252" s="7" t="n">
        <v>464</v>
      </c>
      <c r="H252" s="10" t="n">
        <v>0.15948275862069</v>
      </c>
      <c r="I252" s="7" t="n">
        <v>2.82</v>
      </c>
      <c r="J252" s="7" t="s">
        <v>178</v>
      </c>
      <c r="K252" s="7" t="s">
        <v>179</v>
      </c>
      <c r="L252" s="7" t="s">
        <v>178</v>
      </c>
      <c r="M252" s="3"/>
      <c r="N252" s="3"/>
      <c r="O252" s="3"/>
      <c r="P252" s="3"/>
    </row>
    <row r="253" customFormat="false" ht="15.75" hidden="false" customHeight="true" outlineLevel="0" collapsed="false">
      <c r="A253" s="8" t="n">
        <v>46184</v>
      </c>
      <c r="B253" s="7" t="s">
        <v>180</v>
      </c>
      <c r="C253" s="7" t="s">
        <v>157</v>
      </c>
      <c r="D253" s="7" t="s">
        <v>39</v>
      </c>
      <c r="E253" s="7" t="s">
        <v>160</v>
      </c>
      <c r="F253" s="7" t="n">
        <v>26</v>
      </c>
      <c r="G253" s="7" t="n">
        <v>933</v>
      </c>
      <c r="H253" s="10" t="n">
        <v>0.0278670953912112</v>
      </c>
      <c r="I253" s="7" t="n">
        <v>6.91</v>
      </c>
      <c r="J253" s="7" t="s">
        <v>181</v>
      </c>
      <c r="K253" s="7" t="s">
        <v>182</v>
      </c>
      <c r="L253" s="7" t="s">
        <v>183</v>
      </c>
      <c r="M253" s="3"/>
      <c r="N253" s="3"/>
      <c r="O253" s="3"/>
      <c r="P253" s="3"/>
    </row>
    <row r="254" customFormat="false" ht="15.75" hidden="false" customHeight="true" outlineLevel="0" collapsed="false">
      <c r="A254" s="8" t="n">
        <v>46184</v>
      </c>
      <c r="B254" s="7" t="s">
        <v>184</v>
      </c>
      <c r="C254" s="7" t="s">
        <v>161</v>
      </c>
      <c r="D254" s="7" t="s">
        <v>39</v>
      </c>
      <c r="E254" s="7" t="s">
        <v>165</v>
      </c>
      <c r="F254" s="7" t="n">
        <v>26</v>
      </c>
      <c r="G254" s="7" t="n">
        <v>938</v>
      </c>
      <c r="H254" s="10" t="n">
        <v>0.0277185501066098</v>
      </c>
      <c r="I254" s="7" t="n">
        <v>7.4</v>
      </c>
      <c r="J254" s="7" t="s">
        <v>181</v>
      </c>
      <c r="K254" s="7" t="s">
        <v>182</v>
      </c>
      <c r="L254" s="7" t="s">
        <v>185</v>
      </c>
      <c r="M254" s="3"/>
      <c r="N254" s="3"/>
      <c r="O254" s="3"/>
      <c r="P254" s="3"/>
    </row>
    <row r="255" customFormat="false" ht="15.75" hidden="false" customHeight="true" outlineLevel="0" collapsed="false">
      <c r="A255" s="8" t="n">
        <v>46184</v>
      </c>
      <c r="B255" s="7" t="s">
        <v>186</v>
      </c>
      <c r="C255" s="7" t="s">
        <v>162</v>
      </c>
      <c r="D255" s="7" t="s">
        <v>39</v>
      </c>
      <c r="E255" s="7" t="s">
        <v>160</v>
      </c>
      <c r="F255" s="7" t="n">
        <v>8</v>
      </c>
      <c r="G255" s="7" t="n">
        <v>635</v>
      </c>
      <c r="H255" s="10" t="n">
        <v>0.0125984251968504</v>
      </c>
      <c r="I255" s="7" t="n">
        <v>12.07</v>
      </c>
      <c r="J255" s="7" t="s">
        <v>181</v>
      </c>
      <c r="K255" s="7" t="s">
        <v>187</v>
      </c>
      <c r="L255" s="7" t="s">
        <v>188</v>
      </c>
      <c r="M255" s="3"/>
      <c r="N255" s="3"/>
      <c r="O255" s="3"/>
      <c r="P255" s="3"/>
    </row>
    <row r="256" customFormat="false" ht="15.75" hidden="false" customHeight="true" outlineLevel="0" collapsed="false">
      <c r="A256" s="8" t="n">
        <v>46184</v>
      </c>
      <c r="B256" s="7" t="s">
        <v>189</v>
      </c>
      <c r="C256" s="7" t="s">
        <v>163</v>
      </c>
      <c r="D256" s="7" t="s">
        <v>39</v>
      </c>
      <c r="E256" s="7" t="s">
        <v>165</v>
      </c>
      <c r="F256" s="7" t="n">
        <v>8</v>
      </c>
      <c r="G256" s="7" t="n">
        <v>656</v>
      </c>
      <c r="H256" s="10" t="n">
        <v>0.0121951219512195</v>
      </c>
      <c r="I256" s="7" t="n">
        <v>12.47</v>
      </c>
      <c r="J256" s="7" t="s">
        <v>181</v>
      </c>
      <c r="K256" s="7" t="s">
        <v>187</v>
      </c>
      <c r="L256" s="7" t="s">
        <v>190</v>
      </c>
      <c r="M256" s="3"/>
      <c r="N256" s="3"/>
      <c r="O256" s="3"/>
      <c r="P256" s="3"/>
    </row>
    <row r="257" customFormat="false" ht="15.75" hidden="false" customHeight="true" outlineLevel="0" collapsed="false">
      <c r="A257" s="8" t="n">
        <v>46184</v>
      </c>
      <c r="B257" s="7" t="s">
        <v>191</v>
      </c>
      <c r="C257" s="7" t="s">
        <v>166</v>
      </c>
      <c r="D257" s="7" t="s">
        <v>39</v>
      </c>
      <c r="E257" s="7" t="s">
        <v>160</v>
      </c>
      <c r="F257" s="7" t="n">
        <v>82</v>
      </c>
      <c r="G257" s="7" t="n">
        <v>513</v>
      </c>
      <c r="H257" s="10" t="n">
        <v>0.159844054580897</v>
      </c>
      <c r="I257" s="7" t="n">
        <v>2.62</v>
      </c>
      <c r="J257" s="7" t="s">
        <v>178</v>
      </c>
      <c r="K257" s="7" t="s">
        <v>192</v>
      </c>
      <c r="L257" s="7" t="s">
        <v>178</v>
      </c>
      <c r="M257" s="3"/>
      <c r="N257" s="3"/>
      <c r="O257" s="3"/>
      <c r="P257" s="3"/>
    </row>
    <row r="258" customFormat="false" ht="15.75" hidden="false" customHeight="true" outlineLevel="0" collapsed="false">
      <c r="A258" s="8" t="n">
        <v>46185</v>
      </c>
      <c r="B258" s="7" t="s">
        <v>177</v>
      </c>
      <c r="C258" s="7" t="s">
        <v>164</v>
      </c>
      <c r="D258" s="7" t="s">
        <v>39</v>
      </c>
      <c r="E258" s="7" t="s">
        <v>160</v>
      </c>
      <c r="F258" s="7" t="n">
        <v>84</v>
      </c>
      <c r="G258" s="7" t="n">
        <v>526</v>
      </c>
      <c r="H258" s="10" t="n">
        <v>0.159695817490494</v>
      </c>
      <c r="I258" s="7" t="n">
        <v>2.62</v>
      </c>
      <c r="J258" s="7" t="s">
        <v>178</v>
      </c>
      <c r="K258" s="7" t="s">
        <v>179</v>
      </c>
      <c r="L258" s="7" t="s">
        <v>178</v>
      </c>
      <c r="M258" s="3"/>
      <c r="N258" s="3"/>
      <c r="O258" s="3"/>
      <c r="P258" s="3"/>
    </row>
    <row r="259" customFormat="false" ht="15.75" hidden="false" customHeight="true" outlineLevel="0" collapsed="false">
      <c r="A259" s="8" t="n">
        <v>46185</v>
      </c>
      <c r="B259" s="7" t="s">
        <v>180</v>
      </c>
      <c r="C259" s="7" t="s">
        <v>157</v>
      </c>
      <c r="D259" s="7" t="s">
        <v>39</v>
      </c>
      <c r="E259" s="7" t="s">
        <v>160</v>
      </c>
      <c r="F259" s="7" t="n">
        <v>26</v>
      </c>
      <c r="G259" s="7" t="n">
        <v>931</v>
      </c>
      <c r="H259" s="10" t="n">
        <v>0.0279269602577873</v>
      </c>
      <c r="I259" s="7" t="n">
        <v>7.12</v>
      </c>
      <c r="J259" s="7" t="s">
        <v>181</v>
      </c>
      <c r="K259" s="7" t="s">
        <v>182</v>
      </c>
      <c r="L259" s="7" t="s">
        <v>183</v>
      </c>
      <c r="M259" s="3"/>
      <c r="N259" s="3"/>
      <c r="O259" s="3"/>
      <c r="P259" s="3"/>
    </row>
    <row r="260" customFormat="false" ht="15.75" hidden="false" customHeight="true" outlineLevel="0" collapsed="false">
      <c r="A260" s="8" t="n">
        <v>46185</v>
      </c>
      <c r="B260" s="7" t="s">
        <v>184</v>
      </c>
      <c r="C260" s="7" t="s">
        <v>161</v>
      </c>
      <c r="D260" s="7" t="s">
        <v>39</v>
      </c>
      <c r="E260" s="7" t="s">
        <v>160</v>
      </c>
      <c r="F260" s="7" t="n">
        <v>22</v>
      </c>
      <c r="G260" s="7" t="n">
        <v>815</v>
      </c>
      <c r="H260" s="10" t="n">
        <v>0.0269938650306749</v>
      </c>
      <c r="I260" s="7" t="n">
        <v>8.04</v>
      </c>
      <c r="J260" s="7" t="s">
        <v>181</v>
      </c>
      <c r="K260" s="7" t="s">
        <v>182</v>
      </c>
      <c r="L260" s="7" t="s">
        <v>185</v>
      </c>
      <c r="M260" s="3"/>
      <c r="N260" s="3"/>
      <c r="O260" s="3"/>
      <c r="P260" s="3"/>
    </row>
    <row r="261" customFormat="false" ht="15.75" hidden="false" customHeight="true" outlineLevel="0" collapsed="false">
      <c r="A261" s="8" t="n">
        <v>46185</v>
      </c>
      <c r="B261" s="7" t="s">
        <v>186</v>
      </c>
      <c r="C261" s="7" t="s">
        <v>162</v>
      </c>
      <c r="D261" s="7" t="s">
        <v>39</v>
      </c>
      <c r="E261" s="7" t="s">
        <v>160</v>
      </c>
      <c r="F261" s="7" t="n">
        <v>9</v>
      </c>
      <c r="G261" s="7" t="n">
        <v>700</v>
      </c>
      <c r="H261" s="10" t="n">
        <v>0.0128571428571429</v>
      </c>
      <c r="I261" s="7" t="n">
        <v>12.21</v>
      </c>
      <c r="J261" s="7" t="s">
        <v>181</v>
      </c>
      <c r="K261" s="7" t="s">
        <v>187</v>
      </c>
      <c r="L261" s="7" t="s">
        <v>188</v>
      </c>
      <c r="M261" s="3"/>
      <c r="N261" s="3"/>
      <c r="O261" s="3"/>
      <c r="P261" s="3"/>
    </row>
    <row r="262" customFormat="false" ht="15.75" hidden="false" customHeight="true" outlineLevel="0" collapsed="false">
      <c r="A262" s="8" t="n">
        <v>46185</v>
      </c>
      <c r="B262" s="7" t="s">
        <v>189</v>
      </c>
      <c r="C262" s="7" t="s">
        <v>163</v>
      </c>
      <c r="D262" s="7" t="s">
        <v>39</v>
      </c>
      <c r="E262" s="7" t="s">
        <v>160</v>
      </c>
      <c r="F262" s="7" t="n">
        <v>8</v>
      </c>
      <c r="G262" s="7" t="n">
        <v>682</v>
      </c>
      <c r="H262" s="10" t="n">
        <v>0.0117302052785924</v>
      </c>
      <c r="I262" s="7" t="n">
        <v>12.41</v>
      </c>
      <c r="J262" s="7" t="s">
        <v>181</v>
      </c>
      <c r="K262" s="7" t="s">
        <v>187</v>
      </c>
      <c r="L262" s="7" t="s">
        <v>190</v>
      </c>
      <c r="M262" s="3"/>
      <c r="N262" s="3"/>
      <c r="O262" s="3"/>
      <c r="P262" s="3"/>
    </row>
    <row r="263" customFormat="false" ht="15.75" hidden="false" customHeight="true" outlineLevel="0" collapsed="false">
      <c r="A263" s="8" t="n">
        <v>46185</v>
      </c>
      <c r="B263" s="7" t="s">
        <v>191</v>
      </c>
      <c r="C263" s="7" t="s">
        <v>166</v>
      </c>
      <c r="D263" s="7" t="s">
        <v>39</v>
      </c>
      <c r="E263" s="7" t="s">
        <v>160</v>
      </c>
      <c r="F263" s="7" t="n">
        <v>74</v>
      </c>
      <c r="G263" s="7" t="n">
        <v>466</v>
      </c>
      <c r="H263" s="10" t="n">
        <v>0.158798283261803</v>
      </c>
      <c r="I263" s="7" t="n">
        <v>2.87</v>
      </c>
      <c r="J263" s="7" t="s">
        <v>178</v>
      </c>
      <c r="K263" s="7" t="s">
        <v>192</v>
      </c>
      <c r="L263" s="7" t="s">
        <v>178</v>
      </c>
      <c r="M263" s="3"/>
      <c r="N263" s="3"/>
      <c r="O263" s="3"/>
      <c r="P263" s="3"/>
    </row>
    <row r="264" customFormat="false" ht="15.75" hidden="false" customHeight="true" outlineLevel="0" collapsed="false">
      <c r="A264" s="8" t="n">
        <v>46186</v>
      </c>
      <c r="B264" s="7" t="s">
        <v>177</v>
      </c>
      <c r="C264" s="7" t="s">
        <v>164</v>
      </c>
      <c r="D264" s="7" t="s">
        <v>39</v>
      </c>
      <c r="E264" s="7" t="s">
        <v>165</v>
      </c>
      <c r="F264" s="7" t="n">
        <v>82</v>
      </c>
      <c r="G264" s="7" t="n">
        <v>516</v>
      </c>
      <c r="H264" s="10" t="n">
        <v>0.158914728682171</v>
      </c>
      <c r="I264" s="7" t="n">
        <v>2.88</v>
      </c>
      <c r="J264" s="7" t="s">
        <v>178</v>
      </c>
      <c r="K264" s="7" t="s">
        <v>179</v>
      </c>
      <c r="L264" s="7" t="s">
        <v>178</v>
      </c>
      <c r="M264" s="3"/>
      <c r="N264" s="3"/>
      <c r="O264" s="3"/>
      <c r="P264" s="3"/>
    </row>
    <row r="265" customFormat="false" ht="15.75" hidden="false" customHeight="true" outlineLevel="0" collapsed="false">
      <c r="A265" s="8" t="n">
        <v>46186</v>
      </c>
      <c r="B265" s="7" t="s">
        <v>180</v>
      </c>
      <c r="C265" s="7" t="s">
        <v>157</v>
      </c>
      <c r="D265" s="7" t="s">
        <v>39</v>
      </c>
      <c r="E265" s="7" t="s">
        <v>160</v>
      </c>
      <c r="F265" s="7" t="n">
        <v>24</v>
      </c>
      <c r="G265" s="7" t="n">
        <v>889</v>
      </c>
      <c r="H265" s="10" t="n">
        <v>0.0269966254218223</v>
      </c>
      <c r="I265" s="7" t="n">
        <v>7.06</v>
      </c>
      <c r="J265" s="7" t="s">
        <v>181</v>
      </c>
      <c r="K265" s="7" t="s">
        <v>182</v>
      </c>
      <c r="L265" s="7" t="s">
        <v>183</v>
      </c>
      <c r="M265" s="3"/>
      <c r="N265" s="3"/>
      <c r="O265" s="3"/>
      <c r="P265" s="3"/>
    </row>
    <row r="266" customFormat="false" ht="15.75" hidden="false" customHeight="true" outlineLevel="0" collapsed="false">
      <c r="A266" s="8" t="n">
        <v>46186</v>
      </c>
      <c r="B266" s="7" t="s">
        <v>184</v>
      </c>
      <c r="C266" s="7" t="s">
        <v>161</v>
      </c>
      <c r="D266" s="7" t="s">
        <v>39</v>
      </c>
      <c r="E266" s="7" t="s">
        <v>160</v>
      </c>
      <c r="F266" s="7" t="n">
        <v>24</v>
      </c>
      <c r="G266" s="7" t="n">
        <v>876</v>
      </c>
      <c r="H266" s="10" t="n">
        <v>0.0273972602739726</v>
      </c>
      <c r="I266" s="7" t="n">
        <v>8.08</v>
      </c>
      <c r="J266" s="7" t="s">
        <v>181</v>
      </c>
      <c r="K266" s="7" t="s">
        <v>182</v>
      </c>
      <c r="L266" s="7" t="s">
        <v>185</v>
      </c>
      <c r="M266" s="3"/>
      <c r="N266" s="3"/>
      <c r="O266" s="3"/>
      <c r="P266" s="3"/>
    </row>
    <row r="267" customFormat="false" ht="15.75" hidden="false" customHeight="true" outlineLevel="0" collapsed="false">
      <c r="A267" s="8" t="n">
        <v>46186</v>
      </c>
      <c r="B267" s="7" t="s">
        <v>186</v>
      </c>
      <c r="C267" s="7" t="s">
        <v>162</v>
      </c>
      <c r="D267" s="7" t="s">
        <v>39</v>
      </c>
      <c r="E267" s="7" t="s">
        <v>160</v>
      </c>
      <c r="F267" s="7" t="n">
        <v>7</v>
      </c>
      <c r="G267" s="7" t="n">
        <v>612</v>
      </c>
      <c r="H267" s="10" t="n">
        <v>0.011437908496732</v>
      </c>
      <c r="I267" s="7" t="n">
        <v>12.15</v>
      </c>
      <c r="J267" s="7" t="s">
        <v>181</v>
      </c>
      <c r="K267" s="7" t="s">
        <v>187</v>
      </c>
      <c r="L267" s="7" t="s">
        <v>188</v>
      </c>
      <c r="M267" s="3"/>
      <c r="N267" s="3"/>
      <c r="O267" s="3"/>
      <c r="P267" s="3"/>
    </row>
    <row r="268" customFormat="false" ht="15.75" hidden="false" customHeight="true" outlineLevel="0" collapsed="false">
      <c r="A268" s="8" t="n">
        <v>46186</v>
      </c>
      <c r="B268" s="7" t="s">
        <v>189</v>
      </c>
      <c r="C268" s="7" t="s">
        <v>163</v>
      </c>
      <c r="D268" s="7" t="s">
        <v>39</v>
      </c>
      <c r="E268" s="7" t="s">
        <v>165</v>
      </c>
      <c r="F268" s="7" t="n">
        <v>8</v>
      </c>
      <c r="G268" s="7" t="n">
        <v>691</v>
      </c>
      <c r="H268" s="10" t="n">
        <v>0.0115774240231549</v>
      </c>
      <c r="I268" s="7" t="n">
        <v>12.31</v>
      </c>
      <c r="J268" s="7" t="s">
        <v>181</v>
      </c>
      <c r="K268" s="7" t="s">
        <v>187</v>
      </c>
      <c r="L268" s="7" t="s">
        <v>190</v>
      </c>
      <c r="M268" s="3"/>
      <c r="N268" s="3"/>
      <c r="O268" s="3"/>
      <c r="P268" s="3"/>
    </row>
    <row r="269" customFormat="false" ht="15.75" hidden="false" customHeight="true" outlineLevel="0" collapsed="false">
      <c r="A269" s="8" t="n">
        <v>46186</v>
      </c>
      <c r="B269" s="7" t="s">
        <v>191</v>
      </c>
      <c r="C269" s="7" t="s">
        <v>166</v>
      </c>
      <c r="D269" s="7" t="s">
        <v>39</v>
      </c>
      <c r="E269" s="7" t="s">
        <v>165</v>
      </c>
      <c r="F269" s="7" t="n">
        <v>72</v>
      </c>
      <c r="G269" s="7" t="n">
        <v>450</v>
      </c>
      <c r="H269" s="10" t="n">
        <v>0.16</v>
      </c>
      <c r="I269" s="7" t="n">
        <v>2.3</v>
      </c>
      <c r="J269" s="7" t="s">
        <v>178</v>
      </c>
      <c r="K269" s="7" t="s">
        <v>192</v>
      </c>
      <c r="L269" s="7" t="s">
        <v>178</v>
      </c>
      <c r="M269" s="3"/>
      <c r="N269" s="3"/>
      <c r="O269" s="3"/>
      <c r="P269" s="3"/>
    </row>
    <row r="270" customFormat="false" ht="15.75" hidden="false" customHeight="true" outlineLevel="0" collapsed="false">
      <c r="A270" s="8" t="n">
        <v>46187</v>
      </c>
      <c r="B270" s="7" t="s">
        <v>177</v>
      </c>
      <c r="C270" s="7" t="s">
        <v>164</v>
      </c>
      <c r="D270" s="7" t="s">
        <v>39</v>
      </c>
      <c r="E270" s="7" t="s">
        <v>160</v>
      </c>
      <c r="F270" s="7" t="n">
        <v>92</v>
      </c>
      <c r="G270" s="7" t="n">
        <v>575</v>
      </c>
      <c r="H270" s="10" t="n">
        <v>0.16</v>
      </c>
      <c r="I270" s="7" t="n">
        <v>1.81</v>
      </c>
      <c r="J270" s="7" t="s">
        <v>178</v>
      </c>
      <c r="K270" s="7" t="s">
        <v>179</v>
      </c>
      <c r="L270" s="7" t="s">
        <v>178</v>
      </c>
      <c r="M270" s="3"/>
      <c r="N270" s="3"/>
      <c r="O270" s="3"/>
      <c r="P270" s="3"/>
    </row>
    <row r="271" customFormat="false" ht="15.75" hidden="false" customHeight="true" outlineLevel="0" collapsed="false">
      <c r="A271" s="8" t="n">
        <v>46187</v>
      </c>
      <c r="B271" s="7" t="s">
        <v>180</v>
      </c>
      <c r="C271" s="7" t="s">
        <v>157</v>
      </c>
      <c r="D271" s="7" t="s">
        <v>39</v>
      </c>
      <c r="E271" s="7" t="s">
        <v>160</v>
      </c>
      <c r="F271" s="7" t="n">
        <v>22</v>
      </c>
      <c r="G271" s="7" t="n">
        <v>820</v>
      </c>
      <c r="H271" s="10" t="n">
        <v>0.0268292682926829</v>
      </c>
      <c r="I271" s="7" t="n">
        <v>6.73</v>
      </c>
      <c r="J271" s="7" t="s">
        <v>181</v>
      </c>
      <c r="K271" s="7" t="s">
        <v>182</v>
      </c>
      <c r="L271" s="7" t="s">
        <v>183</v>
      </c>
      <c r="M271" s="3"/>
      <c r="N271" s="3"/>
      <c r="O271" s="3"/>
      <c r="P271" s="3"/>
    </row>
    <row r="272" customFormat="false" ht="15.75" hidden="false" customHeight="true" outlineLevel="0" collapsed="false">
      <c r="A272" s="8" t="n">
        <v>46187</v>
      </c>
      <c r="B272" s="7" t="s">
        <v>184</v>
      </c>
      <c r="C272" s="7" t="s">
        <v>161</v>
      </c>
      <c r="D272" s="7" t="s">
        <v>39</v>
      </c>
      <c r="E272" s="7" t="s">
        <v>160</v>
      </c>
      <c r="F272" s="7" t="n">
        <v>24</v>
      </c>
      <c r="G272" s="7" t="n">
        <v>868</v>
      </c>
      <c r="H272" s="10" t="n">
        <v>0.0276497695852535</v>
      </c>
      <c r="I272" s="7" t="n">
        <v>7.02</v>
      </c>
      <c r="J272" s="7" t="s">
        <v>181</v>
      </c>
      <c r="K272" s="7" t="s">
        <v>182</v>
      </c>
      <c r="L272" s="7" t="s">
        <v>185</v>
      </c>
      <c r="M272" s="3"/>
      <c r="N272" s="3"/>
      <c r="O272" s="3"/>
      <c r="P272" s="3"/>
    </row>
    <row r="273" customFormat="false" ht="15.75" hidden="false" customHeight="true" outlineLevel="0" collapsed="false">
      <c r="A273" s="8" t="n">
        <v>46187</v>
      </c>
      <c r="B273" s="7" t="s">
        <v>186</v>
      </c>
      <c r="C273" s="7" t="s">
        <v>162</v>
      </c>
      <c r="D273" s="7" t="s">
        <v>39</v>
      </c>
      <c r="E273" s="7" t="s">
        <v>160</v>
      </c>
      <c r="F273" s="7" t="n">
        <v>7</v>
      </c>
      <c r="G273" s="7" t="n">
        <v>610</v>
      </c>
      <c r="H273" s="10" t="n">
        <v>0.0114754098360656</v>
      </c>
      <c r="I273" s="7" t="n">
        <v>12.07</v>
      </c>
      <c r="J273" s="7" t="s">
        <v>181</v>
      </c>
      <c r="K273" s="7" t="s">
        <v>187</v>
      </c>
      <c r="L273" s="7" t="s">
        <v>188</v>
      </c>
      <c r="M273" s="3"/>
      <c r="N273" s="3"/>
      <c r="O273" s="3"/>
      <c r="P273" s="3"/>
    </row>
    <row r="274" customFormat="false" ht="15.75" hidden="false" customHeight="true" outlineLevel="0" collapsed="false">
      <c r="A274" s="8" t="n">
        <v>46187</v>
      </c>
      <c r="B274" s="7" t="s">
        <v>189</v>
      </c>
      <c r="C274" s="7" t="s">
        <v>163</v>
      </c>
      <c r="D274" s="7" t="s">
        <v>39</v>
      </c>
      <c r="E274" s="7" t="s">
        <v>160</v>
      </c>
      <c r="F274" s="7" t="n">
        <v>8</v>
      </c>
      <c r="G274" s="7" t="n">
        <v>660</v>
      </c>
      <c r="H274" s="10" t="n">
        <v>0.0121212121212121</v>
      </c>
      <c r="I274" s="7" t="n">
        <v>11.75</v>
      </c>
      <c r="J274" s="7" t="s">
        <v>181</v>
      </c>
      <c r="K274" s="7" t="s">
        <v>187</v>
      </c>
      <c r="L274" s="7" t="s">
        <v>190</v>
      </c>
      <c r="M274" s="3"/>
      <c r="N274" s="3"/>
      <c r="O274" s="3"/>
      <c r="P274" s="3"/>
    </row>
    <row r="275" customFormat="false" ht="15.75" hidden="false" customHeight="true" outlineLevel="0" collapsed="false">
      <c r="A275" s="8" t="n">
        <v>46187</v>
      </c>
      <c r="B275" s="7" t="s">
        <v>191</v>
      </c>
      <c r="C275" s="7" t="s">
        <v>166</v>
      </c>
      <c r="D275" s="7" t="s">
        <v>39</v>
      </c>
      <c r="E275" s="7" t="s">
        <v>160</v>
      </c>
      <c r="F275" s="7" t="n">
        <v>72</v>
      </c>
      <c r="G275" s="7" t="n">
        <v>456</v>
      </c>
      <c r="H275" s="10" t="n">
        <v>0.157894736842105</v>
      </c>
      <c r="I275" s="7" t="n">
        <v>2.41</v>
      </c>
      <c r="J275" s="7" t="s">
        <v>178</v>
      </c>
      <c r="K275" s="7" t="s">
        <v>192</v>
      </c>
      <c r="L275" s="7" t="s">
        <v>178</v>
      </c>
      <c r="M275" s="3"/>
      <c r="N275" s="3"/>
      <c r="O275" s="3"/>
      <c r="P275" s="3"/>
    </row>
    <row r="276" customFormat="false" ht="15.75" hidden="false" customHeight="true" outlineLevel="0" collapsed="false">
      <c r="A276" s="8" t="n">
        <v>46188</v>
      </c>
      <c r="B276" s="7" t="s">
        <v>177</v>
      </c>
      <c r="C276" s="7" t="s">
        <v>164</v>
      </c>
      <c r="D276" s="7" t="s">
        <v>39</v>
      </c>
      <c r="E276" s="7" t="s">
        <v>165</v>
      </c>
      <c r="F276" s="7" t="n">
        <v>76</v>
      </c>
      <c r="G276" s="7" t="n">
        <v>476</v>
      </c>
      <c r="H276" s="10" t="n">
        <v>0.159663865546219</v>
      </c>
      <c r="I276" s="7" t="n">
        <v>1.96</v>
      </c>
      <c r="J276" s="7" t="s">
        <v>178</v>
      </c>
      <c r="K276" s="7" t="s">
        <v>179</v>
      </c>
      <c r="L276" s="7" t="s">
        <v>178</v>
      </c>
      <c r="M276" s="3"/>
      <c r="N276" s="3"/>
      <c r="O276" s="3"/>
      <c r="P276" s="3"/>
    </row>
    <row r="277" customFormat="false" ht="15.75" hidden="false" customHeight="true" outlineLevel="0" collapsed="false">
      <c r="A277" s="8" t="n">
        <v>46188</v>
      </c>
      <c r="B277" s="7" t="s">
        <v>180</v>
      </c>
      <c r="C277" s="7" t="s">
        <v>157</v>
      </c>
      <c r="D277" s="7" t="s">
        <v>39</v>
      </c>
      <c r="E277" s="7" t="s">
        <v>165</v>
      </c>
      <c r="F277" s="7" t="n">
        <v>22</v>
      </c>
      <c r="G277" s="7" t="n">
        <v>816</v>
      </c>
      <c r="H277" s="10" t="n">
        <v>0.0269607843137255</v>
      </c>
      <c r="I277" s="7" t="n">
        <v>7.11</v>
      </c>
      <c r="J277" s="7" t="s">
        <v>181</v>
      </c>
      <c r="K277" s="7" t="s">
        <v>182</v>
      </c>
      <c r="L277" s="7" t="s">
        <v>183</v>
      </c>
      <c r="M277" s="3"/>
      <c r="N277" s="3"/>
      <c r="O277" s="3"/>
      <c r="P277" s="3"/>
    </row>
    <row r="278" customFormat="false" ht="15.75" hidden="false" customHeight="true" outlineLevel="0" collapsed="false">
      <c r="A278" s="8" t="n">
        <v>46188</v>
      </c>
      <c r="B278" s="7" t="s">
        <v>184</v>
      </c>
      <c r="C278" s="7" t="s">
        <v>161</v>
      </c>
      <c r="D278" s="7" t="s">
        <v>39</v>
      </c>
      <c r="E278" s="7" t="s">
        <v>160</v>
      </c>
      <c r="F278" s="7" t="n">
        <v>27</v>
      </c>
      <c r="G278" s="7" t="n">
        <v>968</v>
      </c>
      <c r="H278" s="10" t="n">
        <v>0.0278925619834711</v>
      </c>
      <c r="I278" s="7" t="n">
        <v>7.12</v>
      </c>
      <c r="J278" s="7" t="s">
        <v>181</v>
      </c>
      <c r="K278" s="7" t="s">
        <v>182</v>
      </c>
      <c r="L278" s="7" t="s">
        <v>185</v>
      </c>
      <c r="M278" s="3"/>
      <c r="N278" s="3"/>
      <c r="O278" s="3"/>
      <c r="P278" s="3"/>
    </row>
    <row r="279" customFormat="false" ht="15.75" hidden="false" customHeight="true" outlineLevel="0" collapsed="false">
      <c r="A279" s="8" t="n">
        <v>46188</v>
      </c>
      <c r="B279" s="7" t="s">
        <v>186</v>
      </c>
      <c r="C279" s="7" t="s">
        <v>162</v>
      </c>
      <c r="D279" s="7" t="s">
        <v>39</v>
      </c>
      <c r="E279" s="7" t="s">
        <v>160</v>
      </c>
      <c r="F279" s="7" t="n">
        <v>7</v>
      </c>
      <c r="G279" s="7" t="n">
        <v>594</v>
      </c>
      <c r="H279" s="10" t="n">
        <v>0.0117845117845118</v>
      </c>
      <c r="I279" s="7" t="n">
        <v>11.57</v>
      </c>
      <c r="J279" s="7" t="s">
        <v>181</v>
      </c>
      <c r="K279" s="7" t="s">
        <v>187</v>
      </c>
      <c r="L279" s="7" t="s">
        <v>188</v>
      </c>
      <c r="M279" s="3"/>
      <c r="N279" s="3"/>
      <c r="O279" s="3"/>
      <c r="P279" s="3"/>
    </row>
    <row r="280" customFormat="false" ht="15.75" hidden="false" customHeight="true" outlineLevel="0" collapsed="false">
      <c r="A280" s="8" t="n">
        <v>46188</v>
      </c>
      <c r="B280" s="7" t="s">
        <v>189</v>
      </c>
      <c r="C280" s="7" t="s">
        <v>163</v>
      </c>
      <c r="D280" s="7" t="s">
        <v>39</v>
      </c>
      <c r="E280" s="7" t="s">
        <v>160</v>
      </c>
      <c r="F280" s="7" t="n">
        <v>9</v>
      </c>
      <c r="G280" s="7" t="n">
        <v>713</v>
      </c>
      <c r="H280" s="10" t="n">
        <v>0.0126227208976157</v>
      </c>
      <c r="I280" s="7" t="n">
        <v>12.49</v>
      </c>
      <c r="J280" s="7" t="s">
        <v>181</v>
      </c>
      <c r="K280" s="7" t="s">
        <v>187</v>
      </c>
      <c r="L280" s="7" t="s">
        <v>190</v>
      </c>
      <c r="M280" s="3"/>
      <c r="N280" s="3"/>
      <c r="O280" s="3"/>
      <c r="P280" s="3"/>
    </row>
    <row r="281" customFormat="false" ht="15.75" hidden="false" customHeight="true" outlineLevel="0" collapsed="false">
      <c r="A281" s="8" t="n">
        <v>46188</v>
      </c>
      <c r="B281" s="7" t="s">
        <v>191</v>
      </c>
      <c r="C281" s="7" t="s">
        <v>166</v>
      </c>
      <c r="D281" s="7" t="s">
        <v>39</v>
      </c>
      <c r="E281" s="7" t="s">
        <v>160</v>
      </c>
      <c r="F281" s="7" t="n">
        <v>75</v>
      </c>
      <c r="G281" s="7" t="n">
        <v>474</v>
      </c>
      <c r="H281" s="10" t="n">
        <v>0.158227848101266</v>
      </c>
      <c r="I281" s="7" t="n">
        <v>2.71</v>
      </c>
      <c r="J281" s="7" t="s">
        <v>178</v>
      </c>
      <c r="K281" s="7" t="s">
        <v>192</v>
      </c>
      <c r="L281" s="7" t="s">
        <v>178</v>
      </c>
      <c r="M281" s="3"/>
      <c r="N281" s="3"/>
      <c r="O281" s="3"/>
      <c r="P281" s="3"/>
    </row>
    <row r="282" customFormat="false" ht="15.75" hidden="false" customHeight="true" outlineLevel="0" collapsed="false">
      <c r="A282" s="8" t="n">
        <v>46189</v>
      </c>
      <c r="B282" s="7" t="s">
        <v>177</v>
      </c>
      <c r="C282" s="7" t="s">
        <v>164</v>
      </c>
      <c r="D282" s="7" t="s">
        <v>39</v>
      </c>
      <c r="E282" s="7" t="s">
        <v>160</v>
      </c>
      <c r="F282" s="7" t="n">
        <v>91</v>
      </c>
      <c r="G282" s="7" t="n">
        <v>571</v>
      </c>
      <c r="H282" s="10" t="n">
        <v>0.159369527145359</v>
      </c>
      <c r="I282" s="7" t="n">
        <v>2.56</v>
      </c>
      <c r="J282" s="7" t="s">
        <v>178</v>
      </c>
      <c r="K282" s="7" t="s">
        <v>179</v>
      </c>
      <c r="L282" s="7" t="s">
        <v>178</v>
      </c>
      <c r="M282" s="3"/>
      <c r="N282" s="3"/>
      <c r="O282" s="3"/>
      <c r="P282" s="3"/>
    </row>
    <row r="283" customFormat="false" ht="15.75" hidden="false" customHeight="true" outlineLevel="0" collapsed="false">
      <c r="A283" s="8" t="n">
        <v>46189</v>
      </c>
      <c r="B283" s="7" t="s">
        <v>180</v>
      </c>
      <c r="C283" s="7" t="s">
        <v>157</v>
      </c>
      <c r="D283" s="7" t="s">
        <v>39</v>
      </c>
      <c r="E283" s="7" t="s">
        <v>160</v>
      </c>
      <c r="F283" s="7" t="n">
        <v>24</v>
      </c>
      <c r="G283" s="7" t="n">
        <v>883</v>
      </c>
      <c r="H283" s="10" t="n">
        <v>0.0271800679501699</v>
      </c>
      <c r="I283" s="7" t="n">
        <v>6.98</v>
      </c>
      <c r="J283" s="7" t="s">
        <v>181</v>
      </c>
      <c r="K283" s="7" t="s">
        <v>182</v>
      </c>
      <c r="L283" s="7" t="s">
        <v>183</v>
      </c>
      <c r="M283" s="3"/>
      <c r="N283" s="3"/>
      <c r="O283" s="3"/>
      <c r="P283" s="3"/>
    </row>
    <row r="284" customFormat="false" ht="15.75" hidden="false" customHeight="true" outlineLevel="0" collapsed="false">
      <c r="A284" s="8" t="n">
        <v>46189</v>
      </c>
      <c r="B284" s="7" t="s">
        <v>184</v>
      </c>
      <c r="C284" s="7" t="s">
        <v>161</v>
      </c>
      <c r="D284" s="7" t="s">
        <v>39</v>
      </c>
      <c r="E284" s="7" t="s">
        <v>160</v>
      </c>
      <c r="F284" s="7" t="n">
        <v>24</v>
      </c>
      <c r="G284" s="7" t="n">
        <v>871</v>
      </c>
      <c r="H284" s="10" t="n">
        <v>0.0275545350172216</v>
      </c>
      <c r="I284" s="7" t="n">
        <v>7.31</v>
      </c>
      <c r="J284" s="7" t="s">
        <v>181</v>
      </c>
      <c r="K284" s="7" t="s">
        <v>182</v>
      </c>
      <c r="L284" s="7" t="s">
        <v>185</v>
      </c>
      <c r="M284" s="3"/>
      <c r="N284" s="3"/>
      <c r="O284" s="3"/>
      <c r="P284" s="3"/>
    </row>
    <row r="285" customFormat="false" ht="15.75" hidden="false" customHeight="true" outlineLevel="0" collapsed="false">
      <c r="A285" s="8" t="n">
        <v>46189</v>
      </c>
      <c r="B285" s="7" t="s">
        <v>186</v>
      </c>
      <c r="C285" s="7" t="s">
        <v>162</v>
      </c>
      <c r="D285" s="7" t="s">
        <v>39</v>
      </c>
      <c r="E285" s="7" t="s">
        <v>160</v>
      </c>
      <c r="F285" s="7" t="n">
        <v>8</v>
      </c>
      <c r="G285" s="7" t="n">
        <v>666</v>
      </c>
      <c r="H285" s="10" t="n">
        <v>0.012012012012012</v>
      </c>
      <c r="I285" s="7" t="n">
        <v>11.17</v>
      </c>
      <c r="J285" s="7" t="s">
        <v>181</v>
      </c>
      <c r="K285" s="7" t="s">
        <v>187</v>
      </c>
      <c r="L285" s="7" t="s">
        <v>188</v>
      </c>
      <c r="M285" s="3"/>
      <c r="N285" s="3"/>
      <c r="O285" s="3"/>
      <c r="P285" s="3"/>
    </row>
    <row r="286" customFormat="false" ht="15.75" hidden="false" customHeight="true" outlineLevel="0" collapsed="false">
      <c r="A286" s="8" t="n">
        <v>46189</v>
      </c>
      <c r="B286" s="7" t="s">
        <v>189</v>
      </c>
      <c r="C286" s="7" t="s">
        <v>163</v>
      </c>
      <c r="D286" s="7" t="s">
        <v>39</v>
      </c>
      <c r="E286" s="7" t="s">
        <v>165</v>
      </c>
      <c r="F286" s="7" t="n">
        <v>9</v>
      </c>
      <c r="G286" s="7" t="n">
        <v>714</v>
      </c>
      <c r="H286" s="10" t="n">
        <v>0.0126050420168067</v>
      </c>
      <c r="I286" s="7" t="n">
        <v>12.3</v>
      </c>
      <c r="J286" s="7" t="s">
        <v>181</v>
      </c>
      <c r="K286" s="7" t="s">
        <v>187</v>
      </c>
      <c r="L286" s="7" t="s">
        <v>190</v>
      </c>
      <c r="M286" s="3"/>
      <c r="N286" s="3"/>
      <c r="O286" s="3"/>
      <c r="P286" s="3"/>
    </row>
    <row r="287" customFormat="false" ht="15.75" hidden="false" customHeight="true" outlineLevel="0" collapsed="false">
      <c r="A287" s="8" t="n">
        <v>46189</v>
      </c>
      <c r="B287" s="7" t="s">
        <v>191</v>
      </c>
      <c r="C287" s="7" t="s">
        <v>166</v>
      </c>
      <c r="D287" s="7" t="s">
        <v>39</v>
      </c>
      <c r="E287" s="7" t="s">
        <v>160</v>
      </c>
      <c r="F287" s="7" t="n">
        <v>93</v>
      </c>
      <c r="G287" s="7" t="n">
        <v>586</v>
      </c>
      <c r="H287" s="10" t="n">
        <v>0.158703071672355</v>
      </c>
      <c r="I287" s="7" t="n">
        <v>2.08</v>
      </c>
      <c r="J287" s="7" t="s">
        <v>178</v>
      </c>
      <c r="K287" s="7" t="s">
        <v>192</v>
      </c>
      <c r="L287" s="7" t="s">
        <v>178</v>
      </c>
      <c r="M287" s="3"/>
      <c r="N287" s="3"/>
      <c r="O287" s="3"/>
      <c r="P287" s="3"/>
    </row>
    <row r="288" customFormat="false" ht="15.75" hidden="false" customHeight="true" outlineLevel="0" collapsed="false">
      <c r="A288" s="8" t="n">
        <v>46190</v>
      </c>
      <c r="B288" s="7" t="s">
        <v>177</v>
      </c>
      <c r="C288" s="7" t="s">
        <v>164</v>
      </c>
      <c r="D288" s="7" t="s">
        <v>39</v>
      </c>
      <c r="E288" s="7" t="s">
        <v>165</v>
      </c>
      <c r="F288" s="7" t="n">
        <v>81</v>
      </c>
      <c r="G288" s="7" t="n">
        <v>510</v>
      </c>
      <c r="H288" s="10" t="n">
        <v>0.158823529411765</v>
      </c>
      <c r="I288" s="7" t="n">
        <v>2.61</v>
      </c>
      <c r="J288" s="7" t="s">
        <v>178</v>
      </c>
      <c r="K288" s="7" t="s">
        <v>179</v>
      </c>
      <c r="L288" s="7" t="s">
        <v>178</v>
      </c>
      <c r="M288" s="3"/>
      <c r="N288" s="3"/>
      <c r="O288" s="3"/>
      <c r="P288" s="3"/>
    </row>
    <row r="289" customFormat="false" ht="15.75" hidden="false" customHeight="true" outlineLevel="0" collapsed="false">
      <c r="A289" s="8" t="n">
        <v>46190</v>
      </c>
      <c r="B289" s="7" t="s">
        <v>180</v>
      </c>
      <c r="C289" s="7" t="s">
        <v>157</v>
      </c>
      <c r="D289" s="7" t="s">
        <v>39</v>
      </c>
      <c r="E289" s="7" t="s">
        <v>160</v>
      </c>
      <c r="F289" s="7" t="n">
        <v>23</v>
      </c>
      <c r="G289" s="7" t="n">
        <v>830</v>
      </c>
      <c r="H289" s="10" t="n">
        <v>0.027710843373494</v>
      </c>
      <c r="I289" s="7" t="n">
        <v>6.87</v>
      </c>
      <c r="J289" s="7" t="s">
        <v>181</v>
      </c>
      <c r="K289" s="7" t="s">
        <v>182</v>
      </c>
      <c r="L289" s="7" t="s">
        <v>183</v>
      </c>
      <c r="M289" s="3"/>
      <c r="N289" s="3"/>
      <c r="O289" s="3"/>
      <c r="P289" s="3"/>
    </row>
    <row r="290" customFormat="false" ht="15.75" hidden="false" customHeight="true" outlineLevel="0" collapsed="false">
      <c r="A290" s="8" t="n">
        <v>46190</v>
      </c>
      <c r="B290" s="7" t="s">
        <v>184</v>
      </c>
      <c r="C290" s="7" t="s">
        <v>161</v>
      </c>
      <c r="D290" s="7" t="s">
        <v>39</v>
      </c>
      <c r="E290" s="7" t="s">
        <v>160</v>
      </c>
      <c r="F290" s="7" t="n">
        <v>25</v>
      </c>
      <c r="G290" s="7" t="n">
        <v>916</v>
      </c>
      <c r="H290" s="10" t="n">
        <v>0.027292576419214</v>
      </c>
      <c r="I290" s="7" t="n">
        <v>7.77</v>
      </c>
      <c r="J290" s="7" t="s">
        <v>181</v>
      </c>
      <c r="K290" s="7" t="s">
        <v>182</v>
      </c>
      <c r="L290" s="7" t="s">
        <v>185</v>
      </c>
      <c r="M290" s="3"/>
      <c r="N290" s="3"/>
      <c r="O290" s="3"/>
      <c r="P290" s="3"/>
    </row>
    <row r="291" customFormat="false" ht="15.75" hidden="false" customHeight="true" outlineLevel="0" collapsed="false">
      <c r="A291" s="8" t="n">
        <v>46190</v>
      </c>
      <c r="B291" s="7" t="s">
        <v>186</v>
      </c>
      <c r="C291" s="7" t="s">
        <v>162</v>
      </c>
      <c r="D291" s="7" t="s">
        <v>39</v>
      </c>
      <c r="E291" s="7" t="s">
        <v>160</v>
      </c>
      <c r="F291" s="7" t="n">
        <v>9</v>
      </c>
      <c r="G291" s="7" t="n">
        <v>708</v>
      </c>
      <c r="H291" s="10" t="n">
        <v>0.0127118644067797</v>
      </c>
      <c r="I291" s="7" t="n">
        <v>12.36</v>
      </c>
      <c r="J291" s="7" t="s">
        <v>181</v>
      </c>
      <c r="K291" s="7" t="s">
        <v>187</v>
      </c>
      <c r="L291" s="7" t="s">
        <v>188</v>
      </c>
      <c r="M291" s="3"/>
      <c r="N291" s="3"/>
      <c r="O291" s="3"/>
      <c r="P291" s="3"/>
    </row>
    <row r="292" customFormat="false" ht="15.75" hidden="false" customHeight="true" outlineLevel="0" collapsed="false">
      <c r="A292" s="8" t="n">
        <v>46190</v>
      </c>
      <c r="B292" s="7" t="s">
        <v>189</v>
      </c>
      <c r="C292" s="7" t="s">
        <v>163</v>
      </c>
      <c r="D292" s="7" t="s">
        <v>39</v>
      </c>
      <c r="E292" s="7" t="s">
        <v>160</v>
      </c>
      <c r="F292" s="7" t="n">
        <v>9</v>
      </c>
      <c r="G292" s="7" t="n">
        <v>718</v>
      </c>
      <c r="H292" s="10" t="n">
        <v>0.0125348189415042</v>
      </c>
      <c r="I292" s="7" t="n">
        <v>11.69</v>
      </c>
      <c r="J292" s="7" t="s">
        <v>181</v>
      </c>
      <c r="K292" s="7" t="s">
        <v>187</v>
      </c>
      <c r="L292" s="7" t="s">
        <v>190</v>
      </c>
      <c r="M292" s="3"/>
      <c r="N292" s="3"/>
      <c r="O292" s="3"/>
      <c r="P292" s="3"/>
    </row>
    <row r="293" customFormat="false" ht="15.75" hidden="false" customHeight="true" outlineLevel="0" collapsed="false">
      <c r="A293" s="8" t="n">
        <v>46190</v>
      </c>
      <c r="B293" s="7" t="s">
        <v>191</v>
      </c>
      <c r="C293" s="7" t="s">
        <v>166</v>
      </c>
      <c r="D293" s="7" t="s">
        <v>39</v>
      </c>
      <c r="E293" s="7" t="s">
        <v>165</v>
      </c>
      <c r="F293" s="7" t="n">
        <v>75</v>
      </c>
      <c r="G293" s="7" t="n">
        <v>472</v>
      </c>
      <c r="H293" s="10" t="n">
        <v>0.158898305084746</v>
      </c>
      <c r="I293" s="7" t="n">
        <v>1.77</v>
      </c>
      <c r="J293" s="7" t="s">
        <v>178</v>
      </c>
      <c r="K293" s="7" t="s">
        <v>192</v>
      </c>
      <c r="L293" s="7" t="s">
        <v>178</v>
      </c>
      <c r="M293" s="3"/>
      <c r="N293" s="3"/>
      <c r="O293" s="3"/>
      <c r="P293" s="3"/>
    </row>
    <row r="294" customFormat="false" ht="15.75" hidden="false" customHeight="true" outlineLevel="0" collapsed="false">
      <c r="A294" s="8" t="n">
        <v>46191</v>
      </c>
      <c r="B294" s="7" t="s">
        <v>177</v>
      </c>
      <c r="C294" s="7" t="s">
        <v>164</v>
      </c>
      <c r="D294" s="7" t="s">
        <v>39</v>
      </c>
      <c r="E294" s="7" t="s">
        <v>160</v>
      </c>
      <c r="F294" s="7" t="n">
        <v>74</v>
      </c>
      <c r="G294" s="7" t="n">
        <v>464</v>
      </c>
      <c r="H294" s="10" t="n">
        <v>0.15948275862069</v>
      </c>
      <c r="I294" s="7" t="n">
        <v>2.36</v>
      </c>
      <c r="J294" s="7" t="s">
        <v>178</v>
      </c>
      <c r="K294" s="7" t="s">
        <v>179</v>
      </c>
      <c r="L294" s="7" t="s">
        <v>178</v>
      </c>
      <c r="M294" s="3"/>
      <c r="N294" s="3"/>
      <c r="O294" s="3"/>
      <c r="P294" s="3"/>
    </row>
    <row r="295" customFormat="false" ht="15.75" hidden="false" customHeight="true" outlineLevel="0" collapsed="false">
      <c r="A295" s="8" t="n">
        <v>46191</v>
      </c>
      <c r="B295" s="7" t="s">
        <v>180</v>
      </c>
      <c r="C295" s="7" t="s">
        <v>157</v>
      </c>
      <c r="D295" s="7" t="s">
        <v>39</v>
      </c>
      <c r="E295" s="7" t="s">
        <v>160</v>
      </c>
      <c r="F295" s="7" t="n">
        <v>24</v>
      </c>
      <c r="G295" s="7" t="n">
        <v>879</v>
      </c>
      <c r="H295" s="10" t="n">
        <v>0.0273037542662116</v>
      </c>
      <c r="I295" s="7" t="n">
        <v>7.8</v>
      </c>
      <c r="J295" s="7" t="s">
        <v>181</v>
      </c>
      <c r="K295" s="7" t="s">
        <v>182</v>
      </c>
      <c r="L295" s="7" t="s">
        <v>183</v>
      </c>
      <c r="M295" s="3"/>
      <c r="N295" s="3"/>
      <c r="O295" s="3"/>
      <c r="P295" s="3"/>
    </row>
    <row r="296" customFormat="false" ht="15.75" hidden="false" customHeight="true" outlineLevel="0" collapsed="false">
      <c r="A296" s="8" t="n">
        <v>46191</v>
      </c>
      <c r="B296" s="7" t="s">
        <v>184</v>
      </c>
      <c r="C296" s="7" t="s">
        <v>161</v>
      </c>
      <c r="D296" s="7" t="s">
        <v>39</v>
      </c>
      <c r="E296" s="7" t="s">
        <v>165</v>
      </c>
      <c r="F296" s="7" t="n">
        <v>24</v>
      </c>
      <c r="G296" s="7" t="n">
        <v>891</v>
      </c>
      <c r="H296" s="10" t="n">
        <v>0.0269360269360269</v>
      </c>
      <c r="I296" s="7" t="n">
        <v>7.08</v>
      </c>
      <c r="J296" s="7" t="s">
        <v>181</v>
      </c>
      <c r="K296" s="7" t="s">
        <v>182</v>
      </c>
      <c r="L296" s="7" t="s">
        <v>185</v>
      </c>
      <c r="M296" s="3"/>
      <c r="N296" s="3"/>
      <c r="O296" s="3"/>
      <c r="P296" s="3"/>
    </row>
    <row r="297" customFormat="false" ht="15.75" hidden="false" customHeight="true" outlineLevel="0" collapsed="false">
      <c r="A297" s="8" t="n">
        <v>46191</v>
      </c>
      <c r="B297" s="7" t="s">
        <v>186</v>
      </c>
      <c r="C297" s="7" t="s">
        <v>162</v>
      </c>
      <c r="D297" s="7" t="s">
        <v>39</v>
      </c>
      <c r="E297" s="7" t="s">
        <v>160</v>
      </c>
      <c r="F297" s="7" t="n">
        <v>7</v>
      </c>
      <c r="G297" s="7" t="n">
        <v>590</v>
      </c>
      <c r="H297" s="10" t="n">
        <v>0.011864406779661</v>
      </c>
      <c r="I297" s="7" t="n">
        <v>12.09</v>
      </c>
      <c r="J297" s="7" t="s">
        <v>181</v>
      </c>
      <c r="K297" s="7" t="s">
        <v>187</v>
      </c>
      <c r="L297" s="7" t="s">
        <v>188</v>
      </c>
      <c r="M297" s="3"/>
      <c r="N297" s="3"/>
      <c r="O297" s="3"/>
      <c r="P297" s="3"/>
    </row>
    <row r="298" customFormat="false" ht="15.75" hidden="false" customHeight="true" outlineLevel="0" collapsed="false">
      <c r="A298" s="8" t="n">
        <v>46191</v>
      </c>
      <c r="B298" s="7" t="s">
        <v>189</v>
      </c>
      <c r="C298" s="7" t="s">
        <v>163</v>
      </c>
      <c r="D298" s="7" t="s">
        <v>39</v>
      </c>
      <c r="E298" s="7" t="s">
        <v>165</v>
      </c>
      <c r="F298" s="7" t="n">
        <v>8</v>
      </c>
      <c r="G298" s="7" t="n">
        <v>690</v>
      </c>
      <c r="H298" s="10" t="n">
        <v>0.0115942028985507</v>
      </c>
      <c r="I298" s="7" t="n">
        <v>12.47</v>
      </c>
      <c r="J298" s="7" t="s">
        <v>181</v>
      </c>
      <c r="K298" s="7" t="s">
        <v>187</v>
      </c>
      <c r="L298" s="7" t="s">
        <v>190</v>
      </c>
      <c r="M298" s="3"/>
      <c r="N298" s="3"/>
      <c r="O298" s="3"/>
      <c r="P298" s="3"/>
    </row>
    <row r="299" customFormat="false" ht="15.75" hidden="false" customHeight="true" outlineLevel="0" collapsed="false">
      <c r="A299" s="8" t="n">
        <v>46191</v>
      </c>
      <c r="B299" s="7" t="s">
        <v>191</v>
      </c>
      <c r="C299" s="7" t="s">
        <v>166</v>
      </c>
      <c r="D299" s="7" t="s">
        <v>39</v>
      </c>
      <c r="E299" s="7" t="s">
        <v>165</v>
      </c>
      <c r="F299" s="7" t="n">
        <v>79</v>
      </c>
      <c r="G299" s="7" t="n">
        <v>499</v>
      </c>
      <c r="H299" s="10" t="n">
        <v>0.158316633266533</v>
      </c>
      <c r="I299" s="7" t="n">
        <v>2.84</v>
      </c>
      <c r="J299" s="7" t="s">
        <v>178</v>
      </c>
      <c r="K299" s="7" t="s">
        <v>192</v>
      </c>
      <c r="L299" s="7" t="s">
        <v>178</v>
      </c>
      <c r="M299" s="3"/>
      <c r="N299" s="3"/>
      <c r="O299" s="3"/>
      <c r="P299" s="3"/>
    </row>
    <row r="300" customFormat="false" ht="15.75" hidden="false" customHeight="true" outlineLevel="0" collapsed="false">
      <c r="A300" s="8" t="n">
        <v>46192</v>
      </c>
      <c r="B300" s="7" t="s">
        <v>177</v>
      </c>
      <c r="C300" s="7" t="s">
        <v>164</v>
      </c>
      <c r="D300" s="7" t="s">
        <v>39</v>
      </c>
      <c r="E300" s="7" t="s">
        <v>160</v>
      </c>
      <c r="F300" s="7" t="n">
        <v>74</v>
      </c>
      <c r="G300" s="7" t="n">
        <v>464</v>
      </c>
      <c r="H300" s="10" t="n">
        <v>0.15948275862069</v>
      </c>
      <c r="I300" s="7" t="n">
        <v>2.27</v>
      </c>
      <c r="J300" s="7" t="s">
        <v>178</v>
      </c>
      <c r="K300" s="7" t="s">
        <v>179</v>
      </c>
      <c r="L300" s="7" t="s">
        <v>178</v>
      </c>
      <c r="M300" s="3"/>
      <c r="N300" s="3"/>
      <c r="O300" s="3"/>
      <c r="P300" s="3"/>
    </row>
    <row r="301" customFormat="false" ht="15.75" hidden="false" customHeight="true" outlineLevel="0" collapsed="false">
      <c r="A301" s="8" t="n">
        <v>46192</v>
      </c>
      <c r="B301" s="7" t="s">
        <v>180</v>
      </c>
      <c r="C301" s="7" t="s">
        <v>157</v>
      </c>
      <c r="D301" s="7" t="s">
        <v>39</v>
      </c>
      <c r="E301" s="7" t="s">
        <v>160</v>
      </c>
      <c r="F301" s="7" t="n">
        <v>25</v>
      </c>
      <c r="G301" s="7" t="n">
        <v>928</v>
      </c>
      <c r="H301" s="10" t="n">
        <v>0.0269396551724138</v>
      </c>
      <c r="I301" s="7" t="n">
        <v>7.67</v>
      </c>
      <c r="J301" s="7" t="s">
        <v>181</v>
      </c>
      <c r="K301" s="7" t="s">
        <v>182</v>
      </c>
      <c r="L301" s="7" t="s">
        <v>183</v>
      </c>
      <c r="M301" s="3"/>
      <c r="N301" s="3"/>
      <c r="O301" s="3"/>
      <c r="P301" s="3"/>
    </row>
    <row r="302" customFormat="false" ht="15.75" hidden="false" customHeight="true" outlineLevel="0" collapsed="false">
      <c r="A302" s="8" t="n">
        <v>46192</v>
      </c>
      <c r="B302" s="7" t="s">
        <v>184</v>
      </c>
      <c r="C302" s="7" t="s">
        <v>161</v>
      </c>
      <c r="D302" s="7" t="s">
        <v>39</v>
      </c>
      <c r="E302" s="7" t="s">
        <v>160</v>
      </c>
      <c r="F302" s="7" t="n">
        <v>23</v>
      </c>
      <c r="G302" s="7" t="n">
        <v>842</v>
      </c>
      <c r="H302" s="10" t="n">
        <v>0.0273159144893112</v>
      </c>
      <c r="I302" s="7" t="n">
        <v>8.09</v>
      </c>
      <c r="J302" s="7" t="s">
        <v>181</v>
      </c>
      <c r="K302" s="7" t="s">
        <v>182</v>
      </c>
      <c r="L302" s="7" t="s">
        <v>185</v>
      </c>
      <c r="M302" s="3"/>
      <c r="N302" s="3"/>
      <c r="O302" s="3"/>
      <c r="P302" s="3"/>
    </row>
    <row r="303" customFormat="false" ht="15.75" hidden="false" customHeight="true" outlineLevel="0" collapsed="false">
      <c r="A303" s="8" t="n">
        <v>46192</v>
      </c>
      <c r="B303" s="7" t="s">
        <v>186</v>
      </c>
      <c r="C303" s="7" t="s">
        <v>162</v>
      </c>
      <c r="D303" s="7" t="s">
        <v>39</v>
      </c>
      <c r="E303" s="7" t="s">
        <v>160</v>
      </c>
      <c r="F303" s="7" t="n">
        <v>8</v>
      </c>
      <c r="G303" s="7" t="n">
        <v>642</v>
      </c>
      <c r="H303" s="10" t="n">
        <v>0.0124610591900312</v>
      </c>
      <c r="I303" s="7" t="n">
        <v>11.66</v>
      </c>
      <c r="J303" s="7" t="s">
        <v>181</v>
      </c>
      <c r="K303" s="7" t="s">
        <v>187</v>
      </c>
      <c r="L303" s="7" t="s">
        <v>188</v>
      </c>
      <c r="M303" s="3"/>
      <c r="N303" s="3"/>
      <c r="O303" s="3"/>
      <c r="P303" s="3"/>
    </row>
    <row r="304" customFormat="false" ht="15.75" hidden="false" customHeight="true" outlineLevel="0" collapsed="false">
      <c r="A304" s="8" t="n">
        <v>46192</v>
      </c>
      <c r="B304" s="7" t="s">
        <v>189</v>
      </c>
      <c r="C304" s="7" t="s">
        <v>163</v>
      </c>
      <c r="D304" s="7" t="s">
        <v>39</v>
      </c>
      <c r="E304" s="7" t="s">
        <v>160</v>
      </c>
      <c r="F304" s="7" t="n">
        <v>9</v>
      </c>
      <c r="G304" s="7" t="n">
        <v>737</v>
      </c>
      <c r="H304" s="10" t="n">
        <v>0.0122116689280868</v>
      </c>
      <c r="I304" s="7" t="n">
        <v>11.67</v>
      </c>
      <c r="J304" s="7" t="s">
        <v>181</v>
      </c>
      <c r="K304" s="7" t="s">
        <v>187</v>
      </c>
      <c r="L304" s="7" t="s">
        <v>190</v>
      </c>
      <c r="M304" s="3"/>
      <c r="N304" s="3"/>
      <c r="O304" s="3"/>
      <c r="P304" s="3"/>
    </row>
    <row r="305" customFormat="false" ht="15.75" hidden="false" customHeight="true" outlineLevel="0" collapsed="false">
      <c r="A305" s="8" t="n">
        <v>46192</v>
      </c>
      <c r="B305" s="7" t="s">
        <v>191</v>
      </c>
      <c r="C305" s="7" t="s">
        <v>166</v>
      </c>
      <c r="D305" s="7" t="s">
        <v>39</v>
      </c>
      <c r="E305" s="7" t="s">
        <v>160</v>
      </c>
      <c r="F305" s="7" t="n">
        <v>95</v>
      </c>
      <c r="G305" s="7" t="n">
        <v>594</v>
      </c>
      <c r="H305" s="10" t="n">
        <v>0.15993265993266</v>
      </c>
      <c r="I305" s="7" t="n">
        <v>1.68</v>
      </c>
      <c r="J305" s="7" t="s">
        <v>178</v>
      </c>
      <c r="K305" s="7" t="s">
        <v>192</v>
      </c>
      <c r="L305" s="7" t="s">
        <v>178</v>
      </c>
      <c r="M305" s="3"/>
      <c r="N305" s="3"/>
      <c r="O305" s="3"/>
      <c r="P305" s="3"/>
    </row>
    <row r="306" customFormat="false" ht="15.75" hidden="false" customHeight="true" outlineLevel="0" collapsed="false">
      <c r="A306" s="8" t="n">
        <v>46193</v>
      </c>
      <c r="B306" s="7" t="s">
        <v>177</v>
      </c>
      <c r="C306" s="7" t="s">
        <v>164</v>
      </c>
      <c r="D306" s="7" t="s">
        <v>39</v>
      </c>
      <c r="E306" s="7" t="s">
        <v>160</v>
      </c>
      <c r="F306" s="7" t="n">
        <v>91</v>
      </c>
      <c r="G306" s="7" t="n">
        <v>571</v>
      </c>
      <c r="H306" s="10" t="n">
        <v>0.159369527145359</v>
      </c>
      <c r="I306" s="7" t="n">
        <v>2.06</v>
      </c>
      <c r="J306" s="7" t="s">
        <v>178</v>
      </c>
      <c r="K306" s="7" t="s">
        <v>179</v>
      </c>
      <c r="L306" s="7" t="s">
        <v>178</v>
      </c>
      <c r="M306" s="3"/>
      <c r="N306" s="3"/>
      <c r="O306" s="3"/>
      <c r="P306" s="3"/>
    </row>
    <row r="307" customFormat="false" ht="15.75" hidden="false" customHeight="true" outlineLevel="0" collapsed="false">
      <c r="A307" s="8" t="n">
        <v>46193</v>
      </c>
      <c r="B307" s="7" t="s">
        <v>180</v>
      </c>
      <c r="C307" s="7" t="s">
        <v>157</v>
      </c>
      <c r="D307" s="7" t="s">
        <v>39</v>
      </c>
      <c r="E307" s="7" t="s">
        <v>160</v>
      </c>
      <c r="F307" s="7" t="n">
        <v>25</v>
      </c>
      <c r="G307" s="7" t="n">
        <v>910</v>
      </c>
      <c r="H307" s="10" t="n">
        <v>0.0274725274725275</v>
      </c>
      <c r="I307" s="7" t="n">
        <v>7.72</v>
      </c>
      <c r="J307" s="7" t="s">
        <v>181</v>
      </c>
      <c r="K307" s="7" t="s">
        <v>182</v>
      </c>
      <c r="L307" s="7" t="s">
        <v>183</v>
      </c>
      <c r="M307" s="3"/>
      <c r="N307" s="3"/>
      <c r="O307" s="3"/>
      <c r="P307" s="3"/>
    </row>
    <row r="308" customFormat="false" ht="15.75" hidden="false" customHeight="true" outlineLevel="0" collapsed="false">
      <c r="A308" s="8" t="n">
        <v>46193</v>
      </c>
      <c r="B308" s="7" t="s">
        <v>184</v>
      </c>
      <c r="C308" s="7" t="s">
        <v>161</v>
      </c>
      <c r="D308" s="7" t="s">
        <v>39</v>
      </c>
      <c r="E308" s="7" t="s">
        <v>165</v>
      </c>
      <c r="F308" s="7" t="n">
        <v>24</v>
      </c>
      <c r="G308" s="7" t="n">
        <v>863</v>
      </c>
      <c r="H308" s="10" t="n">
        <v>0.0278099652375435</v>
      </c>
      <c r="I308" s="7" t="n">
        <v>8.04</v>
      </c>
      <c r="J308" s="7" t="s">
        <v>181</v>
      </c>
      <c r="K308" s="7" t="s">
        <v>182</v>
      </c>
      <c r="L308" s="7" t="s">
        <v>185</v>
      </c>
      <c r="M308" s="3"/>
      <c r="N308" s="3"/>
      <c r="O308" s="3"/>
      <c r="P308" s="3"/>
    </row>
    <row r="309" customFormat="false" ht="15.75" hidden="false" customHeight="true" outlineLevel="0" collapsed="false">
      <c r="A309" s="8" t="n">
        <v>46193</v>
      </c>
      <c r="B309" s="7" t="s">
        <v>186</v>
      </c>
      <c r="C309" s="7" t="s">
        <v>162</v>
      </c>
      <c r="D309" s="7" t="s">
        <v>39</v>
      </c>
      <c r="E309" s="7" t="s">
        <v>165</v>
      </c>
      <c r="F309" s="7" t="n">
        <v>9</v>
      </c>
      <c r="G309" s="7" t="n">
        <v>704</v>
      </c>
      <c r="H309" s="10" t="n">
        <v>0.0127840909090909</v>
      </c>
      <c r="I309" s="7" t="n">
        <v>12.48</v>
      </c>
      <c r="J309" s="7" t="s">
        <v>181</v>
      </c>
      <c r="K309" s="7" t="s">
        <v>187</v>
      </c>
      <c r="L309" s="7" t="s">
        <v>188</v>
      </c>
      <c r="M309" s="3"/>
      <c r="N309" s="3"/>
      <c r="O309" s="3"/>
      <c r="P309" s="3"/>
    </row>
    <row r="310" customFormat="false" ht="15.75" hidden="false" customHeight="true" outlineLevel="0" collapsed="false">
      <c r="A310" s="8" t="n">
        <v>46193</v>
      </c>
      <c r="B310" s="7" t="s">
        <v>189</v>
      </c>
      <c r="C310" s="7" t="s">
        <v>163</v>
      </c>
      <c r="D310" s="7" t="s">
        <v>39</v>
      </c>
      <c r="E310" s="7" t="s">
        <v>160</v>
      </c>
      <c r="F310" s="7" t="n">
        <v>7</v>
      </c>
      <c r="G310" s="7" t="n">
        <v>610</v>
      </c>
      <c r="H310" s="10" t="n">
        <v>0.0114754098360656</v>
      </c>
      <c r="I310" s="7" t="n">
        <v>11.57</v>
      </c>
      <c r="J310" s="7" t="s">
        <v>181</v>
      </c>
      <c r="K310" s="7" t="s">
        <v>187</v>
      </c>
      <c r="L310" s="7" t="s">
        <v>190</v>
      </c>
      <c r="M310" s="3"/>
      <c r="N310" s="3"/>
      <c r="O310" s="3"/>
      <c r="P310" s="3"/>
    </row>
    <row r="311" customFormat="false" ht="15.75" hidden="false" customHeight="true" outlineLevel="0" collapsed="false">
      <c r="A311" s="8" t="n">
        <v>46193</v>
      </c>
      <c r="B311" s="7" t="s">
        <v>191</v>
      </c>
      <c r="C311" s="7" t="s">
        <v>166</v>
      </c>
      <c r="D311" s="7" t="s">
        <v>39</v>
      </c>
      <c r="E311" s="7" t="s">
        <v>160</v>
      </c>
      <c r="F311" s="7" t="n">
        <v>92</v>
      </c>
      <c r="G311" s="7" t="n">
        <v>580</v>
      </c>
      <c r="H311" s="10" t="n">
        <v>0.158620689655172</v>
      </c>
      <c r="I311" s="7" t="n">
        <v>2.31</v>
      </c>
      <c r="J311" s="7" t="s">
        <v>178</v>
      </c>
      <c r="K311" s="7" t="s">
        <v>192</v>
      </c>
      <c r="L311" s="7" t="s">
        <v>178</v>
      </c>
      <c r="M311" s="3"/>
      <c r="N311" s="3"/>
      <c r="O311" s="3"/>
      <c r="P311" s="3"/>
    </row>
    <row r="312" customFormat="false" ht="15.75" hidden="false" customHeight="true" outlineLevel="0" collapsed="false">
      <c r="A312" s="8" t="n">
        <v>46194</v>
      </c>
      <c r="B312" s="7" t="s">
        <v>177</v>
      </c>
      <c r="C312" s="7" t="s">
        <v>164</v>
      </c>
      <c r="D312" s="7" t="s">
        <v>39</v>
      </c>
      <c r="E312" s="7" t="s">
        <v>165</v>
      </c>
      <c r="F312" s="7" t="n">
        <v>79</v>
      </c>
      <c r="G312" s="7" t="n">
        <v>499</v>
      </c>
      <c r="H312" s="10" t="n">
        <v>0.158316633266533</v>
      </c>
      <c r="I312" s="7" t="n">
        <v>1.86</v>
      </c>
      <c r="J312" s="7" t="s">
        <v>178</v>
      </c>
      <c r="K312" s="7" t="s">
        <v>179</v>
      </c>
      <c r="L312" s="7" t="s">
        <v>178</v>
      </c>
      <c r="M312" s="3"/>
      <c r="N312" s="3"/>
      <c r="O312" s="3"/>
      <c r="P312" s="3"/>
    </row>
    <row r="313" customFormat="false" ht="15.75" hidden="false" customHeight="true" outlineLevel="0" collapsed="false">
      <c r="A313" s="8" t="n">
        <v>46194</v>
      </c>
      <c r="B313" s="7" t="s">
        <v>180</v>
      </c>
      <c r="C313" s="7" t="s">
        <v>157</v>
      </c>
      <c r="D313" s="7" t="s">
        <v>39</v>
      </c>
      <c r="E313" s="7" t="s">
        <v>160</v>
      </c>
      <c r="F313" s="7" t="n">
        <v>24</v>
      </c>
      <c r="G313" s="7" t="n">
        <v>878</v>
      </c>
      <c r="H313" s="10" t="n">
        <v>0.0273348519362187</v>
      </c>
      <c r="I313" s="7" t="n">
        <v>7.33</v>
      </c>
      <c r="J313" s="7" t="s">
        <v>181</v>
      </c>
      <c r="K313" s="7" t="s">
        <v>182</v>
      </c>
      <c r="L313" s="7" t="s">
        <v>183</v>
      </c>
      <c r="M313" s="3"/>
      <c r="N313" s="3"/>
      <c r="O313" s="3"/>
      <c r="P313" s="3"/>
    </row>
    <row r="314" customFormat="false" ht="15.75" hidden="false" customHeight="true" outlineLevel="0" collapsed="false">
      <c r="A314" s="8" t="n">
        <v>46194</v>
      </c>
      <c r="B314" s="7" t="s">
        <v>184</v>
      </c>
      <c r="C314" s="7" t="s">
        <v>161</v>
      </c>
      <c r="D314" s="7" t="s">
        <v>39</v>
      </c>
      <c r="E314" s="7" t="s">
        <v>160</v>
      </c>
      <c r="F314" s="7" t="n">
        <v>25</v>
      </c>
      <c r="G314" s="7" t="n">
        <v>921</v>
      </c>
      <c r="H314" s="10" t="n">
        <v>0.0271444082519001</v>
      </c>
      <c r="I314" s="7" t="n">
        <v>6.99</v>
      </c>
      <c r="J314" s="7" t="s">
        <v>181</v>
      </c>
      <c r="K314" s="7" t="s">
        <v>182</v>
      </c>
      <c r="L314" s="7" t="s">
        <v>185</v>
      </c>
      <c r="M314" s="3"/>
      <c r="N314" s="3"/>
      <c r="O314" s="3"/>
      <c r="P314" s="3"/>
    </row>
    <row r="315" customFormat="false" ht="15.75" hidden="false" customHeight="true" outlineLevel="0" collapsed="false">
      <c r="A315" s="8" t="n">
        <v>46194</v>
      </c>
      <c r="B315" s="7" t="s">
        <v>186</v>
      </c>
      <c r="C315" s="7" t="s">
        <v>162</v>
      </c>
      <c r="D315" s="7" t="s">
        <v>39</v>
      </c>
      <c r="E315" s="7" t="s">
        <v>160</v>
      </c>
      <c r="F315" s="7" t="n">
        <v>8</v>
      </c>
      <c r="G315" s="7" t="n">
        <v>634</v>
      </c>
      <c r="H315" s="10" t="n">
        <v>0.0126182965299685</v>
      </c>
      <c r="I315" s="7" t="n">
        <v>11.97</v>
      </c>
      <c r="J315" s="7" t="s">
        <v>181</v>
      </c>
      <c r="K315" s="7" t="s">
        <v>187</v>
      </c>
      <c r="L315" s="7" t="s">
        <v>188</v>
      </c>
      <c r="M315" s="3"/>
      <c r="N315" s="3"/>
      <c r="O315" s="3"/>
      <c r="P315" s="3"/>
    </row>
    <row r="316" customFormat="false" ht="15.75" hidden="false" customHeight="true" outlineLevel="0" collapsed="false">
      <c r="A316" s="8" t="n">
        <v>46194</v>
      </c>
      <c r="B316" s="7" t="s">
        <v>189</v>
      </c>
      <c r="C316" s="7" t="s">
        <v>163</v>
      </c>
      <c r="D316" s="7" t="s">
        <v>39</v>
      </c>
      <c r="E316" s="7" t="s">
        <v>160</v>
      </c>
      <c r="F316" s="7" t="n">
        <v>8</v>
      </c>
      <c r="G316" s="7" t="n">
        <v>657</v>
      </c>
      <c r="H316" s="10" t="n">
        <v>0.0121765601217656</v>
      </c>
      <c r="I316" s="7" t="n">
        <v>11.97</v>
      </c>
      <c r="J316" s="7" t="s">
        <v>181</v>
      </c>
      <c r="K316" s="7" t="s">
        <v>187</v>
      </c>
      <c r="L316" s="7" t="s">
        <v>190</v>
      </c>
      <c r="M316" s="3"/>
      <c r="N316" s="3"/>
      <c r="O316" s="3"/>
      <c r="P316" s="3"/>
    </row>
    <row r="317" customFormat="false" ht="15.75" hidden="false" customHeight="true" outlineLevel="0" collapsed="false">
      <c r="A317" s="8" t="n">
        <v>46194</v>
      </c>
      <c r="B317" s="7" t="s">
        <v>191</v>
      </c>
      <c r="C317" s="7" t="s">
        <v>166</v>
      </c>
      <c r="D317" s="7" t="s">
        <v>39</v>
      </c>
      <c r="E317" s="7" t="s">
        <v>160</v>
      </c>
      <c r="F317" s="7" t="n">
        <v>91</v>
      </c>
      <c r="G317" s="7" t="n">
        <v>571</v>
      </c>
      <c r="H317" s="10" t="n">
        <v>0.159369527145359</v>
      </c>
      <c r="I317" s="7" t="n">
        <v>2.38</v>
      </c>
      <c r="J317" s="7" t="s">
        <v>178</v>
      </c>
      <c r="K317" s="7" t="s">
        <v>192</v>
      </c>
      <c r="L317" s="7" t="s">
        <v>178</v>
      </c>
      <c r="M317" s="3"/>
      <c r="N317" s="3"/>
      <c r="O317" s="3"/>
      <c r="P317" s="3"/>
    </row>
    <row r="318" customFormat="false" ht="15.75" hidden="false" customHeight="true" outlineLevel="0" collapsed="false">
      <c r="A318" s="8" t="n">
        <v>46195</v>
      </c>
      <c r="B318" s="7" t="s">
        <v>177</v>
      </c>
      <c r="C318" s="7" t="s">
        <v>164</v>
      </c>
      <c r="D318" s="7" t="s">
        <v>39</v>
      </c>
      <c r="E318" s="7" t="s">
        <v>160</v>
      </c>
      <c r="F318" s="7" t="n">
        <v>87</v>
      </c>
      <c r="G318" s="7" t="n">
        <v>546</v>
      </c>
      <c r="H318" s="10" t="n">
        <v>0.159340659340659</v>
      </c>
      <c r="I318" s="7" t="n">
        <v>2.45</v>
      </c>
      <c r="J318" s="7" t="s">
        <v>178</v>
      </c>
      <c r="K318" s="7" t="s">
        <v>179</v>
      </c>
      <c r="L318" s="7" t="s">
        <v>178</v>
      </c>
      <c r="M318" s="3"/>
      <c r="N318" s="3"/>
      <c r="O318" s="3"/>
      <c r="P318" s="3"/>
    </row>
    <row r="319" customFormat="false" ht="15.75" hidden="false" customHeight="true" outlineLevel="0" collapsed="false">
      <c r="A319" s="8" t="n">
        <v>46195</v>
      </c>
      <c r="B319" s="7" t="s">
        <v>180</v>
      </c>
      <c r="C319" s="7" t="s">
        <v>157</v>
      </c>
      <c r="D319" s="7" t="s">
        <v>39</v>
      </c>
      <c r="E319" s="7" t="s">
        <v>160</v>
      </c>
      <c r="F319" s="7" t="n">
        <v>25</v>
      </c>
      <c r="G319" s="7" t="n">
        <v>912</v>
      </c>
      <c r="H319" s="10" t="n">
        <v>0.0274122807017544</v>
      </c>
      <c r="I319" s="7" t="n">
        <v>7.94</v>
      </c>
      <c r="J319" s="7" t="s">
        <v>181</v>
      </c>
      <c r="K319" s="7" t="s">
        <v>182</v>
      </c>
      <c r="L319" s="7" t="s">
        <v>183</v>
      </c>
      <c r="M319" s="3"/>
      <c r="N319" s="3"/>
      <c r="O319" s="3"/>
      <c r="P319" s="3"/>
    </row>
    <row r="320" customFormat="false" ht="15.75" hidden="false" customHeight="true" outlineLevel="0" collapsed="false">
      <c r="A320" s="8" t="n">
        <v>46195</v>
      </c>
      <c r="B320" s="7" t="s">
        <v>184</v>
      </c>
      <c r="C320" s="7" t="s">
        <v>161</v>
      </c>
      <c r="D320" s="7" t="s">
        <v>39</v>
      </c>
      <c r="E320" s="7" t="s">
        <v>160</v>
      </c>
      <c r="F320" s="7" t="n">
        <v>24</v>
      </c>
      <c r="G320" s="7" t="n">
        <v>868</v>
      </c>
      <c r="H320" s="10" t="n">
        <v>0.0276497695852535</v>
      </c>
      <c r="I320" s="7" t="n">
        <v>7.11</v>
      </c>
      <c r="J320" s="7" t="s">
        <v>181</v>
      </c>
      <c r="K320" s="7" t="s">
        <v>182</v>
      </c>
      <c r="L320" s="7" t="s">
        <v>185</v>
      </c>
      <c r="M320" s="3"/>
      <c r="N320" s="3"/>
      <c r="O320" s="3"/>
      <c r="P320" s="3"/>
    </row>
    <row r="321" customFormat="false" ht="15.75" hidden="false" customHeight="true" outlineLevel="0" collapsed="false">
      <c r="A321" s="8" t="n">
        <v>46195</v>
      </c>
      <c r="B321" s="7" t="s">
        <v>186</v>
      </c>
      <c r="C321" s="7" t="s">
        <v>162</v>
      </c>
      <c r="D321" s="7" t="s">
        <v>39</v>
      </c>
      <c r="E321" s="7" t="s">
        <v>160</v>
      </c>
      <c r="F321" s="7" t="n">
        <v>9</v>
      </c>
      <c r="G321" s="7" t="n">
        <v>733</v>
      </c>
      <c r="H321" s="10" t="n">
        <v>0.0122783083219645</v>
      </c>
      <c r="I321" s="7" t="n">
        <v>12.02</v>
      </c>
      <c r="J321" s="7" t="s">
        <v>181</v>
      </c>
      <c r="K321" s="7" t="s">
        <v>187</v>
      </c>
      <c r="L321" s="7" t="s">
        <v>188</v>
      </c>
      <c r="M321" s="3"/>
      <c r="N321" s="3"/>
      <c r="O321" s="3"/>
      <c r="P321" s="3"/>
    </row>
    <row r="322" customFormat="false" ht="15.75" hidden="false" customHeight="true" outlineLevel="0" collapsed="false">
      <c r="A322" s="8" t="n">
        <v>46195</v>
      </c>
      <c r="B322" s="7" t="s">
        <v>189</v>
      </c>
      <c r="C322" s="7" t="s">
        <v>163</v>
      </c>
      <c r="D322" s="7" t="s">
        <v>39</v>
      </c>
      <c r="E322" s="7" t="s">
        <v>160</v>
      </c>
      <c r="F322" s="7" t="n">
        <v>8</v>
      </c>
      <c r="G322" s="7" t="n">
        <v>691</v>
      </c>
      <c r="H322" s="10" t="n">
        <v>0.0115774240231549</v>
      </c>
      <c r="I322" s="7" t="n">
        <v>11.4</v>
      </c>
      <c r="J322" s="7" t="s">
        <v>181</v>
      </c>
      <c r="K322" s="7" t="s">
        <v>187</v>
      </c>
      <c r="L322" s="7" t="s">
        <v>190</v>
      </c>
      <c r="M322" s="3"/>
      <c r="N322" s="3"/>
      <c r="O322" s="3"/>
      <c r="P322" s="3"/>
    </row>
    <row r="323" customFormat="false" ht="15.75" hidden="false" customHeight="true" outlineLevel="0" collapsed="false">
      <c r="A323" s="8" t="n">
        <v>46195</v>
      </c>
      <c r="B323" s="7" t="s">
        <v>191</v>
      </c>
      <c r="C323" s="7" t="s">
        <v>166</v>
      </c>
      <c r="D323" s="7" t="s">
        <v>39</v>
      </c>
      <c r="E323" s="7" t="s">
        <v>160</v>
      </c>
      <c r="F323" s="7" t="n">
        <v>96</v>
      </c>
      <c r="G323" s="7" t="n">
        <v>603</v>
      </c>
      <c r="H323" s="10" t="n">
        <v>0.159203980099503</v>
      </c>
      <c r="I323" s="7" t="n">
        <v>2.58</v>
      </c>
      <c r="J323" s="7" t="s">
        <v>178</v>
      </c>
      <c r="K323" s="7" t="s">
        <v>192</v>
      </c>
      <c r="L323" s="7" t="s">
        <v>178</v>
      </c>
      <c r="M323" s="3"/>
      <c r="N323" s="3"/>
      <c r="O323" s="3"/>
      <c r="P323" s="3"/>
    </row>
    <row r="324" customFormat="false" ht="15.75" hidden="false" customHeight="true" outlineLevel="0" collapsed="false">
      <c r="A324" s="8" t="n">
        <v>46196</v>
      </c>
      <c r="B324" s="7" t="s">
        <v>177</v>
      </c>
      <c r="C324" s="7" t="s">
        <v>164</v>
      </c>
      <c r="D324" s="7" t="s">
        <v>39</v>
      </c>
      <c r="E324" s="7" t="s">
        <v>160</v>
      </c>
      <c r="F324" s="7" t="n">
        <v>85</v>
      </c>
      <c r="G324" s="7" t="n">
        <v>537</v>
      </c>
      <c r="H324" s="10" t="n">
        <v>0.15828677839851</v>
      </c>
      <c r="I324" s="7" t="n">
        <v>2.29</v>
      </c>
      <c r="J324" s="7" t="s">
        <v>178</v>
      </c>
      <c r="K324" s="7" t="s">
        <v>179</v>
      </c>
      <c r="L324" s="7" t="s">
        <v>178</v>
      </c>
      <c r="M324" s="3"/>
      <c r="N324" s="3"/>
      <c r="O324" s="3"/>
      <c r="P324" s="3"/>
    </row>
    <row r="325" customFormat="false" ht="15.75" hidden="false" customHeight="true" outlineLevel="0" collapsed="false">
      <c r="A325" s="8" t="n">
        <v>46196</v>
      </c>
      <c r="B325" s="7" t="s">
        <v>180</v>
      </c>
      <c r="C325" s="7" t="s">
        <v>157</v>
      </c>
      <c r="D325" s="7" t="s">
        <v>39</v>
      </c>
      <c r="E325" s="7" t="s">
        <v>160</v>
      </c>
      <c r="F325" s="7" t="n">
        <v>25</v>
      </c>
      <c r="G325" s="7" t="n">
        <v>916</v>
      </c>
      <c r="H325" s="10" t="n">
        <v>0.027292576419214</v>
      </c>
      <c r="I325" s="7" t="n">
        <v>7.18</v>
      </c>
      <c r="J325" s="7" t="s">
        <v>181</v>
      </c>
      <c r="K325" s="7" t="s">
        <v>182</v>
      </c>
      <c r="L325" s="7" t="s">
        <v>183</v>
      </c>
      <c r="M325" s="3"/>
      <c r="N325" s="3"/>
      <c r="O325" s="3"/>
      <c r="P325" s="3"/>
    </row>
    <row r="326" customFormat="false" ht="15.75" hidden="false" customHeight="true" outlineLevel="0" collapsed="false">
      <c r="A326" s="8" t="n">
        <v>46196</v>
      </c>
      <c r="B326" s="7" t="s">
        <v>184</v>
      </c>
      <c r="C326" s="7" t="s">
        <v>161</v>
      </c>
      <c r="D326" s="7" t="s">
        <v>39</v>
      </c>
      <c r="E326" s="7" t="s">
        <v>160</v>
      </c>
      <c r="F326" s="7" t="n">
        <v>23</v>
      </c>
      <c r="G326" s="7" t="n">
        <v>833</v>
      </c>
      <c r="H326" s="10" t="n">
        <v>0.0276110444177671</v>
      </c>
      <c r="I326" s="7" t="n">
        <v>7.56</v>
      </c>
      <c r="J326" s="7" t="s">
        <v>181</v>
      </c>
      <c r="K326" s="7" t="s">
        <v>182</v>
      </c>
      <c r="L326" s="7" t="s">
        <v>185</v>
      </c>
      <c r="M326" s="3"/>
      <c r="N326" s="3"/>
      <c r="O326" s="3"/>
      <c r="P326" s="3"/>
    </row>
    <row r="327" customFormat="false" ht="15.75" hidden="false" customHeight="true" outlineLevel="0" collapsed="false">
      <c r="A327" s="8" t="n">
        <v>46196</v>
      </c>
      <c r="B327" s="7" t="s">
        <v>186</v>
      </c>
      <c r="C327" s="7" t="s">
        <v>162</v>
      </c>
      <c r="D327" s="7" t="s">
        <v>39</v>
      </c>
      <c r="E327" s="7" t="s">
        <v>165</v>
      </c>
      <c r="F327" s="7" t="n">
        <v>8</v>
      </c>
      <c r="G327" s="7" t="n">
        <v>681</v>
      </c>
      <c r="H327" s="10" t="n">
        <v>0.0117474302496329</v>
      </c>
      <c r="I327" s="7" t="n">
        <v>11.52</v>
      </c>
      <c r="J327" s="7" t="s">
        <v>181</v>
      </c>
      <c r="K327" s="7" t="s">
        <v>187</v>
      </c>
      <c r="L327" s="7" t="s">
        <v>188</v>
      </c>
      <c r="M327" s="3"/>
      <c r="N327" s="3"/>
      <c r="O327" s="3"/>
      <c r="P327" s="3"/>
    </row>
    <row r="328" customFormat="false" ht="15.75" hidden="false" customHeight="true" outlineLevel="0" collapsed="false">
      <c r="A328" s="8" t="n">
        <v>46196</v>
      </c>
      <c r="B328" s="7" t="s">
        <v>189</v>
      </c>
      <c r="C328" s="7" t="s">
        <v>163</v>
      </c>
      <c r="D328" s="7" t="s">
        <v>39</v>
      </c>
      <c r="E328" s="7" t="s">
        <v>160</v>
      </c>
      <c r="F328" s="7" t="n">
        <v>8</v>
      </c>
      <c r="G328" s="7" t="n">
        <v>691</v>
      </c>
      <c r="H328" s="10" t="n">
        <v>0.0115774240231549</v>
      </c>
      <c r="I328" s="7" t="n">
        <v>11.18</v>
      </c>
      <c r="J328" s="7" t="s">
        <v>181</v>
      </c>
      <c r="K328" s="7" t="s">
        <v>187</v>
      </c>
      <c r="L328" s="7" t="s">
        <v>190</v>
      </c>
      <c r="M328" s="3"/>
      <c r="N328" s="3"/>
      <c r="O328" s="3"/>
      <c r="P328" s="3"/>
    </row>
    <row r="329" customFormat="false" ht="15.75" hidden="false" customHeight="true" outlineLevel="0" collapsed="false">
      <c r="A329" s="8" t="n">
        <v>46196</v>
      </c>
      <c r="B329" s="7" t="s">
        <v>191</v>
      </c>
      <c r="C329" s="7" t="s">
        <v>166</v>
      </c>
      <c r="D329" s="7" t="s">
        <v>39</v>
      </c>
      <c r="E329" s="7" t="s">
        <v>160</v>
      </c>
      <c r="F329" s="7" t="n">
        <v>80</v>
      </c>
      <c r="G329" s="7" t="n">
        <v>505</v>
      </c>
      <c r="H329" s="10" t="n">
        <v>0.158415841584158</v>
      </c>
      <c r="I329" s="7" t="n">
        <v>2.67</v>
      </c>
      <c r="J329" s="7" t="s">
        <v>178</v>
      </c>
      <c r="K329" s="7" t="s">
        <v>192</v>
      </c>
      <c r="L329" s="7" t="s">
        <v>178</v>
      </c>
      <c r="M329" s="3"/>
      <c r="N329" s="3"/>
      <c r="O329" s="3"/>
      <c r="P329" s="3"/>
    </row>
    <row r="330" customFormat="false" ht="15.75" hidden="false" customHeight="true" outlineLevel="0" collapsed="false">
      <c r="A330" s="8" t="n">
        <v>46197</v>
      </c>
      <c r="B330" s="7" t="s">
        <v>177</v>
      </c>
      <c r="C330" s="7" t="s">
        <v>164</v>
      </c>
      <c r="D330" s="7" t="s">
        <v>39</v>
      </c>
      <c r="E330" s="7" t="s">
        <v>160</v>
      </c>
      <c r="F330" s="7" t="n">
        <v>96</v>
      </c>
      <c r="G330" s="7" t="n">
        <v>601</v>
      </c>
      <c r="H330" s="10" t="n">
        <v>0.15973377703827</v>
      </c>
      <c r="I330" s="7" t="n">
        <v>2.87</v>
      </c>
      <c r="J330" s="7" t="s">
        <v>178</v>
      </c>
      <c r="K330" s="7" t="s">
        <v>179</v>
      </c>
      <c r="L330" s="7" t="s">
        <v>178</v>
      </c>
      <c r="M330" s="3"/>
      <c r="N330" s="3"/>
      <c r="O330" s="3"/>
      <c r="P330" s="3"/>
    </row>
    <row r="331" customFormat="false" ht="15.75" hidden="false" customHeight="true" outlineLevel="0" collapsed="false">
      <c r="A331" s="8" t="n">
        <v>46197</v>
      </c>
      <c r="B331" s="7" t="s">
        <v>180</v>
      </c>
      <c r="C331" s="7" t="s">
        <v>157</v>
      </c>
      <c r="D331" s="7" t="s">
        <v>39</v>
      </c>
      <c r="E331" s="7" t="s">
        <v>160</v>
      </c>
      <c r="F331" s="7" t="n">
        <v>25</v>
      </c>
      <c r="G331" s="7" t="n">
        <v>896</v>
      </c>
      <c r="H331" s="10" t="n">
        <v>0.0279017857142857</v>
      </c>
      <c r="I331" s="7" t="n">
        <v>7.75</v>
      </c>
      <c r="J331" s="7" t="s">
        <v>181</v>
      </c>
      <c r="K331" s="7" t="s">
        <v>182</v>
      </c>
      <c r="L331" s="7" t="s">
        <v>183</v>
      </c>
      <c r="M331" s="3"/>
      <c r="N331" s="3"/>
      <c r="O331" s="3"/>
      <c r="P331" s="3"/>
    </row>
    <row r="332" customFormat="false" ht="15.75" hidden="false" customHeight="true" outlineLevel="0" collapsed="false">
      <c r="A332" s="8" t="n">
        <v>46197</v>
      </c>
      <c r="B332" s="7" t="s">
        <v>184</v>
      </c>
      <c r="C332" s="7" t="s">
        <v>161</v>
      </c>
      <c r="D332" s="7" t="s">
        <v>39</v>
      </c>
      <c r="E332" s="7" t="s">
        <v>160</v>
      </c>
      <c r="F332" s="7" t="n">
        <v>24</v>
      </c>
      <c r="G332" s="7" t="n">
        <v>874</v>
      </c>
      <c r="H332" s="10" t="n">
        <v>0.0274599542334096</v>
      </c>
      <c r="I332" s="7" t="n">
        <v>7.06</v>
      </c>
      <c r="J332" s="7" t="s">
        <v>181</v>
      </c>
      <c r="K332" s="7" t="s">
        <v>182</v>
      </c>
      <c r="L332" s="7" t="s">
        <v>185</v>
      </c>
      <c r="M332" s="3"/>
      <c r="N332" s="3"/>
      <c r="O332" s="3"/>
      <c r="P332" s="3"/>
    </row>
    <row r="333" customFormat="false" ht="15.75" hidden="false" customHeight="true" outlineLevel="0" collapsed="false">
      <c r="A333" s="8" t="n">
        <v>46197</v>
      </c>
      <c r="B333" s="7" t="s">
        <v>186</v>
      </c>
      <c r="C333" s="7" t="s">
        <v>162</v>
      </c>
      <c r="D333" s="7" t="s">
        <v>39</v>
      </c>
      <c r="E333" s="7" t="s">
        <v>165</v>
      </c>
      <c r="F333" s="7" t="n">
        <v>8</v>
      </c>
      <c r="G333" s="7" t="n">
        <v>684</v>
      </c>
      <c r="H333" s="10" t="n">
        <v>0.0116959064327485</v>
      </c>
      <c r="I333" s="7" t="n">
        <v>11.86</v>
      </c>
      <c r="J333" s="7" t="s">
        <v>181</v>
      </c>
      <c r="K333" s="7" t="s">
        <v>187</v>
      </c>
      <c r="L333" s="7" t="s">
        <v>188</v>
      </c>
      <c r="M333" s="3"/>
      <c r="N333" s="3"/>
      <c r="O333" s="3"/>
      <c r="P333" s="3"/>
    </row>
    <row r="334" customFormat="false" ht="15.75" hidden="false" customHeight="true" outlineLevel="0" collapsed="false">
      <c r="A334" s="8" t="n">
        <v>46197</v>
      </c>
      <c r="B334" s="7" t="s">
        <v>189</v>
      </c>
      <c r="C334" s="7" t="s">
        <v>163</v>
      </c>
      <c r="D334" s="7" t="s">
        <v>39</v>
      </c>
      <c r="E334" s="7" t="s">
        <v>160</v>
      </c>
      <c r="F334" s="7" t="n">
        <v>7</v>
      </c>
      <c r="G334" s="7" t="n">
        <v>614</v>
      </c>
      <c r="H334" s="10" t="n">
        <v>0.0114006514657981</v>
      </c>
      <c r="I334" s="7" t="n">
        <v>12.15</v>
      </c>
      <c r="J334" s="7" t="s">
        <v>181</v>
      </c>
      <c r="K334" s="7" t="s">
        <v>187</v>
      </c>
      <c r="L334" s="7" t="s">
        <v>190</v>
      </c>
      <c r="M334" s="3"/>
      <c r="N334" s="3"/>
      <c r="O334" s="3"/>
      <c r="P334" s="3"/>
    </row>
    <row r="335" customFormat="false" ht="15.75" hidden="false" customHeight="true" outlineLevel="0" collapsed="false">
      <c r="A335" s="8" t="n">
        <v>46197</v>
      </c>
      <c r="B335" s="7" t="s">
        <v>191</v>
      </c>
      <c r="C335" s="7" t="s">
        <v>166</v>
      </c>
      <c r="D335" s="7" t="s">
        <v>39</v>
      </c>
      <c r="E335" s="7" t="s">
        <v>160</v>
      </c>
      <c r="F335" s="7" t="n">
        <v>92</v>
      </c>
      <c r="G335" s="7" t="n">
        <v>580</v>
      </c>
      <c r="H335" s="10" t="n">
        <v>0.158620689655172</v>
      </c>
      <c r="I335" s="7" t="n">
        <v>2.83</v>
      </c>
      <c r="J335" s="7" t="s">
        <v>178</v>
      </c>
      <c r="K335" s="7" t="s">
        <v>192</v>
      </c>
      <c r="L335" s="7" t="s">
        <v>178</v>
      </c>
      <c r="M335" s="3"/>
      <c r="N335" s="3"/>
      <c r="O335" s="3"/>
      <c r="P335" s="3"/>
    </row>
    <row r="336" customFormat="false" ht="15.75" hidden="false" customHeight="true" outlineLevel="0" collapsed="false">
      <c r="A336" s="8" t="n">
        <v>46198</v>
      </c>
      <c r="B336" s="7" t="s">
        <v>177</v>
      </c>
      <c r="C336" s="7" t="s">
        <v>164</v>
      </c>
      <c r="D336" s="7" t="s">
        <v>39</v>
      </c>
      <c r="E336" s="7" t="s">
        <v>165</v>
      </c>
      <c r="F336" s="7" t="n">
        <v>95</v>
      </c>
      <c r="G336" s="7" t="n">
        <v>595</v>
      </c>
      <c r="H336" s="10" t="n">
        <v>0.159663865546219</v>
      </c>
      <c r="I336" s="7" t="n">
        <v>1.98</v>
      </c>
      <c r="J336" s="7" t="s">
        <v>178</v>
      </c>
      <c r="K336" s="7" t="s">
        <v>179</v>
      </c>
      <c r="L336" s="7" t="s">
        <v>178</v>
      </c>
      <c r="M336" s="3"/>
      <c r="N336" s="3"/>
      <c r="O336" s="3"/>
      <c r="P336" s="3"/>
    </row>
    <row r="337" customFormat="false" ht="15.75" hidden="false" customHeight="true" outlineLevel="0" collapsed="false">
      <c r="A337" s="8" t="n">
        <v>46198</v>
      </c>
      <c r="B337" s="7" t="s">
        <v>180</v>
      </c>
      <c r="C337" s="7" t="s">
        <v>157</v>
      </c>
      <c r="D337" s="7" t="s">
        <v>39</v>
      </c>
      <c r="E337" s="7" t="s">
        <v>160</v>
      </c>
      <c r="F337" s="7" t="n">
        <v>25</v>
      </c>
      <c r="G337" s="7" t="n">
        <v>893</v>
      </c>
      <c r="H337" s="10" t="n">
        <v>0.0279955207166853</v>
      </c>
      <c r="I337" s="7" t="n">
        <v>6.93</v>
      </c>
      <c r="J337" s="7" t="s">
        <v>181</v>
      </c>
      <c r="K337" s="7" t="s">
        <v>182</v>
      </c>
      <c r="L337" s="7" t="s">
        <v>183</v>
      </c>
      <c r="M337" s="3"/>
      <c r="N337" s="3"/>
      <c r="O337" s="3"/>
      <c r="P337" s="3"/>
    </row>
    <row r="338" customFormat="false" ht="15.75" hidden="false" customHeight="true" outlineLevel="0" collapsed="false">
      <c r="A338" s="8" t="n">
        <v>46198</v>
      </c>
      <c r="B338" s="7" t="s">
        <v>184</v>
      </c>
      <c r="C338" s="7" t="s">
        <v>161</v>
      </c>
      <c r="D338" s="7" t="s">
        <v>39</v>
      </c>
      <c r="E338" s="7" t="s">
        <v>160</v>
      </c>
      <c r="F338" s="7" t="n">
        <v>26</v>
      </c>
      <c r="G338" s="7" t="n">
        <v>936</v>
      </c>
      <c r="H338" s="10" t="n">
        <v>0.0277777777777778</v>
      </c>
      <c r="I338" s="7" t="n">
        <v>7.63</v>
      </c>
      <c r="J338" s="7" t="s">
        <v>181</v>
      </c>
      <c r="K338" s="7" t="s">
        <v>182</v>
      </c>
      <c r="L338" s="7" t="s">
        <v>185</v>
      </c>
      <c r="M338" s="3"/>
      <c r="N338" s="3"/>
      <c r="O338" s="3"/>
      <c r="P338" s="3"/>
    </row>
    <row r="339" customFormat="false" ht="15.75" hidden="false" customHeight="true" outlineLevel="0" collapsed="false">
      <c r="A339" s="8" t="n">
        <v>46198</v>
      </c>
      <c r="B339" s="7" t="s">
        <v>186</v>
      </c>
      <c r="C339" s="7" t="s">
        <v>162</v>
      </c>
      <c r="D339" s="7" t="s">
        <v>39</v>
      </c>
      <c r="E339" s="7" t="s">
        <v>160</v>
      </c>
      <c r="F339" s="7" t="n">
        <v>8</v>
      </c>
      <c r="G339" s="7" t="n">
        <v>687</v>
      </c>
      <c r="H339" s="10" t="n">
        <v>0.0116448326055313</v>
      </c>
      <c r="I339" s="7" t="n">
        <v>12.05</v>
      </c>
      <c r="J339" s="7" t="s">
        <v>181</v>
      </c>
      <c r="K339" s="7" t="s">
        <v>187</v>
      </c>
      <c r="L339" s="7" t="s">
        <v>188</v>
      </c>
      <c r="M339" s="3"/>
      <c r="N339" s="3"/>
      <c r="O339" s="3"/>
      <c r="P339" s="3"/>
    </row>
    <row r="340" customFormat="false" ht="15.75" hidden="false" customHeight="true" outlineLevel="0" collapsed="false">
      <c r="A340" s="8" t="n">
        <v>46198</v>
      </c>
      <c r="B340" s="7" t="s">
        <v>189</v>
      </c>
      <c r="C340" s="7" t="s">
        <v>163</v>
      </c>
      <c r="D340" s="7" t="s">
        <v>39</v>
      </c>
      <c r="E340" s="7" t="s">
        <v>160</v>
      </c>
      <c r="F340" s="7" t="n">
        <v>7</v>
      </c>
      <c r="G340" s="7" t="n">
        <v>592</v>
      </c>
      <c r="H340" s="10" t="n">
        <v>0.0118243243243243</v>
      </c>
      <c r="I340" s="7" t="n">
        <v>11.74</v>
      </c>
      <c r="J340" s="7" t="s">
        <v>181</v>
      </c>
      <c r="K340" s="7" t="s">
        <v>187</v>
      </c>
      <c r="L340" s="7" t="s">
        <v>190</v>
      </c>
      <c r="M340" s="3"/>
      <c r="N340" s="3"/>
      <c r="O340" s="3"/>
      <c r="P340" s="3"/>
    </row>
    <row r="341" customFormat="false" ht="15.75" hidden="false" customHeight="true" outlineLevel="0" collapsed="false">
      <c r="A341" s="8" t="n">
        <v>46198</v>
      </c>
      <c r="B341" s="7" t="s">
        <v>191</v>
      </c>
      <c r="C341" s="7" t="s">
        <v>166</v>
      </c>
      <c r="D341" s="7" t="s">
        <v>39</v>
      </c>
      <c r="E341" s="7" t="s">
        <v>165</v>
      </c>
      <c r="F341" s="7" t="n">
        <v>89</v>
      </c>
      <c r="G341" s="7" t="n">
        <v>562</v>
      </c>
      <c r="H341" s="10" t="n">
        <v>0.158362989323843</v>
      </c>
      <c r="I341" s="7" t="n">
        <v>2.3</v>
      </c>
      <c r="J341" s="7" t="s">
        <v>178</v>
      </c>
      <c r="K341" s="7" t="s">
        <v>192</v>
      </c>
      <c r="L341" s="7" t="s">
        <v>178</v>
      </c>
      <c r="M341" s="3"/>
      <c r="N341" s="3"/>
      <c r="O341" s="3"/>
      <c r="P341" s="3"/>
    </row>
    <row r="342" customFormat="false" ht="15.75" hidden="false" customHeight="true" outlineLevel="0" collapsed="false">
      <c r="A342" s="8" t="n">
        <v>46199</v>
      </c>
      <c r="B342" s="7" t="s">
        <v>177</v>
      </c>
      <c r="C342" s="7" t="s">
        <v>164</v>
      </c>
      <c r="D342" s="7" t="s">
        <v>39</v>
      </c>
      <c r="E342" s="7" t="s">
        <v>160</v>
      </c>
      <c r="F342" s="7" t="n">
        <v>86</v>
      </c>
      <c r="G342" s="7" t="n">
        <v>540</v>
      </c>
      <c r="H342" s="10" t="n">
        <v>0.159259259259259</v>
      </c>
      <c r="I342" s="7" t="n">
        <v>2.11</v>
      </c>
      <c r="J342" s="7" t="s">
        <v>178</v>
      </c>
      <c r="K342" s="7" t="s">
        <v>179</v>
      </c>
      <c r="L342" s="7" t="s">
        <v>178</v>
      </c>
      <c r="M342" s="3"/>
      <c r="N342" s="3"/>
      <c r="O342" s="3"/>
      <c r="P342" s="3"/>
    </row>
    <row r="343" customFormat="false" ht="15.75" hidden="false" customHeight="true" outlineLevel="0" collapsed="false">
      <c r="A343" s="8" t="n">
        <v>46199</v>
      </c>
      <c r="B343" s="7" t="s">
        <v>180</v>
      </c>
      <c r="C343" s="7" t="s">
        <v>157</v>
      </c>
      <c r="D343" s="7" t="s">
        <v>39</v>
      </c>
      <c r="E343" s="7" t="s">
        <v>160</v>
      </c>
      <c r="F343" s="7" t="n">
        <v>22</v>
      </c>
      <c r="G343" s="7" t="n">
        <v>812</v>
      </c>
      <c r="H343" s="10" t="n">
        <v>0.0270935960591133</v>
      </c>
      <c r="I343" s="7" t="n">
        <v>7.12</v>
      </c>
      <c r="J343" s="7" t="s">
        <v>181</v>
      </c>
      <c r="K343" s="7" t="s">
        <v>182</v>
      </c>
      <c r="L343" s="7" t="s">
        <v>183</v>
      </c>
      <c r="M343" s="3"/>
      <c r="N343" s="3"/>
      <c r="O343" s="3"/>
      <c r="P343" s="3"/>
    </row>
    <row r="344" customFormat="false" ht="15.75" hidden="false" customHeight="true" outlineLevel="0" collapsed="false">
      <c r="A344" s="8" t="n">
        <v>46199</v>
      </c>
      <c r="B344" s="7" t="s">
        <v>184</v>
      </c>
      <c r="C344" s="7" t="s">
        <v>161</v>
      </c>
      <c r="D344" s="7" t="s">
        <v>39</v>
      </c>
      <c r="E344" s="7" t="s">
        <v>160</v>
      </c>
      <c r="F344" s="7" t="n">
        <v>25</v>
      </c>
      <c r="G344" s="7" t="n">
        <v>903</v>
      </c>
      <c r="H344" s="10" t="n">
        <v>0.0276854928017719</v>
      </c>
      <c r="I344" s="7" t="n">
        <v>7.86</v>
      </c>
      <c r="J344" s="7" t="s">
        <v>181</v>
      </c>
      <c r="K344" s="7" t="s">
        <v>182</v>
      </c>
      <c r="L344" s="7" t="s">
        <v>185</v>
      </c>
      <c r="M344" s="3"/>
      <c r="N344" s="3"/>
      <c r="O344" s="3"/>
      <c r="P344" s="3"/>
    </row>
    <row r="345" customFormat="false" ht="15.75" hidden="false" customHeight="true" outlineLevel="0" collapsed="false">
      <c r="A345" s="8" t="n">
        <v>46199</v>
      </c>
      <c r="B345" s="7" t="s">
        <v>186</v>
      </c>
      <c r="C345" s="7" t="s">
        <v>162</v>
      </c>
      <c r="D345" s="7" t="s">
        <v>39</v>
      </c>
      <c r="E345" s="7" t="s">
        <v>160</v>
      </c>
      <c r="F345" s="7" t="n">
        <v>8</v>
      </c>
      <c r="G345" s="7" t="n">
        <v>650</v>
      </c>
      <c r="H345" s="10" t="n">
        <v>0.0123076923076923</v>
      </c>
      <c r="I345" s="7" t="n">
        <v>11.31</v>
      </c>
      <c r="J345" s="7" t="s">
        <v>181</v>
      </c>
      <c r="K345" s="7" t="s">
        <v>187</v>
      </c>
      <c r="L345" s="7" t="s">
        <v>188</v>
      </c>
      <c r="M345" s="3"/>
      <c r="N345" s="3"/>
      <c r="O345" s="3"/>
      <c r="P345" s="3"/>
    </row>
    <row r="346" customFormat="false" ht="15.75" hidden="false" customHeight="true" outlineLevel="0" collapsed="false">
      <c r="A346" s="8" t="n">
        <v>46199</v>
      </c>
      <c r="B346" s="7" t="s">
        <v>189</v>
      </c>
      <c r="C346" s="7" t="s">
        <v>163</v>
      </c>
      <c r="D346" s="7" t="s">
        <v>39</v>
      </c>
      <c r="E346" s="7" t="s">
        <v>160</v>
      </c>
      <c r="F346" s="7" t="n">
        <v>9</v>
      </c>
      <c r="G346" s="7" t="n">
        <v>711</v>
      </c>
      <c r="H346" s="10" t="n">
        <v>0.0126582278481013</v>
      </c>
      <c r="I346" s="7" t="n">
        <v>11.13</v>
      </c>
      <c r="J346" s="7" t="s">
        <v>181</v>
      </c>
      <c r="K346" s="7" t="s">
        <v>187</v>
      </c>
      <c r="L346" s="7" t="s">
        <v>190</v>
      </c>
      <c r="M346" s="3"/>
      <c r="N346" s="3"/>
      <c r="O346" s="3"/>
      <c r="P346" s="3"/>
    </row>
    <row r="347" customFormat="false" ht="15.75" hidden="false" customHeight="true" outlineLevel="0" collapsed="false">
      <c r="A347" s="8" t="n">
        <v>46199</v>
      </c>
      <c r="B347" s="7" t="s">
        <v>191</v>
      </c>
      <c r="C347" s="7" t="s">
        <v>166</v>
      </c>
      <c r="D347" s="7" t="s">
        <v>39</v>
      </c>
      <c r="E347" s="7" t="s">
        <v>160</v>
      </c>
      <c r="F347" s="7" t="n">
        <v>88</v>
      </c>
      <c r="G347" s="7" t="n">
        <v>553</v>
      </c>
      <c r="H347" s="10" t="n">
        <v>0.159132007233273</v>
      </c>
      <c r="I347" s="7" t="n">
        <v>1.71</v>
      </c>
      <c r="J347" s="7" t="s">
        <v>178</v>
      </c>
      <c r="K347" s="7" t="s">
        <v>192</v>
      </c>
      <c r="L347" s="7" t="s">
        <v>178</v>
      </c>
      <c r="M347" s="3"/>
      <c r="N347" s="3"/>
      <c r="O347" s="3"/>
      <c r="P347" s="3"/>
    </row>
    <row r="348" customFormat="false" ht="15.75" hidden="false" customHeight="true" outlineLevel="0" collapsed="false">
      <c r="A348" s="8" t="n">
        <v>46200</v>
      </c>
      <c r="B348" s="7" t="s">
        <v>177</v>
      </c>
      <c r="C348" s="7" t="s">
        <v>164</v>
      </c>
      <c r="D348" s="7" t="s">
        <v>39</v>
      </c>
      <c r="E348" s="7" t="s">
        <v>160</v>
      </c>
      <c r="F348" s="7" t="n">
        <v>96</v>
      </c>
      <c r="G348" s="7" t="n">
        <v>606</v>
      </c>
      <c r="H348" s="10" t="n">
        <v>0.158415841584158</v>
      </c>
      <c r="I348" s="7" t="n">
        <v>1.85</v>
      </c>
      <c r="J348" s="7" t="s">
        <v>178</v>
      </c>
      <c r="K348" s="7" t="s">
        <v>179</v>
      </c>
      <c r="L348" s="7" t="s">
        <v>178</v>
      </c>
      <c r="M348" s="3"/>
      <c r="N348" s="3"/>
      <c r="O348" s="3"/>
      <c r="P348" s="3"/>
    </row>
    <row r="349" customFormat="false" ht="15.75" hidden="false" customHeight="true" outlineLevel="0" collapsed="false">
      <c r="A349" s="8" t="n">
        <v>46200</v>
      </c>
      <c r="B349" s="7" t="s">
        <v>180</v>
      </c>
      <c r="C349" s="7" t="s">
        <v>157</v>
      </c>
      <c r="D349" s="7" t="s">
        <v>39</v>
      </c>
      <c r="E349" s="7" t="s">
        <v>160</v>
      </c>
      <c r="F349" s="7" t="n">
        <v>23</v>
      </c>
      <c r="G349" s="7" t="n">
        <v>840</v>
      </c>
      <c r="H349" s="10" t="n">
        <v>0.0273809523809524</v>
      </c>
      <c r="I349" s="7" t="n">
        <v>7.97</v>
      </c>
      <c r="J349" s="7" t="s">
        <v>181</v>
      </c>
      <c r="K349" s="7" t="s">
        <v>182</v>
      </c>
      <c r="L349" s="7" t="s">
        <v>183</v>
      </c>
      <c r="M349" s="3"/>
      <c r="N349" s="3"/>
      <c r="O349" s="3"/>
      <c r="P349" s="3"/>
    </row>
    <row r="350" customFormat="false" ht="15.75" hidden="false" customHeight="true" outlineLevel="0" collapsed="false">
      <c r="A350" s="8" t="n">
        <v>46200</v>
      </c>
      <c r="B350" s="7" t="s">
        <v>184</v>
      </c>
      <c r="C350" s="7" t="s">
        <v>161</v>
      </c>
      <c r="D350" s="7" t="s">
        <v>39</v>
      </c>
      <c r="E350" s="7" t="s">
        <v>160</v>
      </c>
      <c r="F350" s="7" t="n">
        <v>22</v>
      </c>
      <c r="G350" s="7" t="n">
        <v>816</v>
      </c>
      <c r="H350" s="10" t="n">
        <v>0.0269607843137255</v>
      </c>
      <c r="I350" s="7" t="n">
        <v>7.73</v>
      </c>
      <c r="J350" s="7" t="s">
        <v>181</v>
      </c>
      <c r="K350" s="7" t="s">
        <v>182</v>
      </c>
      <c r="L350" s="7" t="s">
        <v>185</v>
      </c>
      <c r="M350" s="3"/>
      <c r="N350" s="3"/>
      <c r="O350" s="3"/>
      <c r="P350" s="3"/>
    </row>
    <row r="351" customFormat="false" ht="15.75" hidden="false" customHeight="true" outlineLevel="0" collapsed="false">
      <c r="A351" s="8" t="n">
        <v>46200</v>
      </c>
      <c r="B351" s="7" t="s">
        <v>186</v>
      </c>
      <c r="C351" s="7" t="s">
        <v>162</v>
      </c>
      <c r="D351" s="7" t="s">
        <v>39</v>
      </c>
      <c r="E351" s="7" t="s">
        <v>160</v>
      </c>
      <c r="F351" s="7" t="n">
        <v>9</v>
      </c>
      <c r="G351" s="7" t="n">
        <v>705</v>
      </c>
      <c r="H351" s="10" t="n">
        <v>0.0127659574468085</v>
      </c>
      <c r="I351" s="7" t="n">
        <v>11.18</v>
      </c>
      <c r="J351" s="7" t="s">
        <v>181</v>
      </c>
      <c r="K351" s="7" t="s">
        <v>187</v>
      </c>
      <c r="L351" s="7" t="s">
        <v>188</v>
      </c>
      <c r="M351" s="3"/>
      <c r="N351" s="3"/>
      <c r="O351" s="3"/>
      <c r="P351" s="3"/>
    </row>
    <row r="352" customFormat="false" ht="15.75" hidden="false" customHeight="true" outlineLevel="0" collapsed="false">
      <c r="A352" s="8" t="n">
        <v>46200</v>
      </c>
      <c r="B352" s="7" t="s">
        <v>189</v>
      </c>
      <c r="C352" s="7" t="s">
        <v>163</v>
      </c>
      <c r="D352" s="7" t="s">
        <v>39</v>
      </c>
      <c r="E352" s="7" t="s">
        <v>160</v>
      </c>
      <c r="F352" s="7" t="n">
        <v>8</v>
      </c>
      <c r="G352" s="7" t="n">
        <v>654</v>
      </c>
      <c r="H352" s="10" t="n">
        <v>0.0122324159021407</v>
      </c>
      <c r="I352" s="7" t="n">
        <v>12.3</v>
      </c>
      <c r="J352" s="7" t="s">
        <v>181</v>
      </c>
      <c r="K352" s="7" t="s">
        <v>187</v>
      </c>
      <c r="L352" s="7" t="s">
        <v>190</v>
      </c>
      <c r="M352" s="3"/>
      <c r="N352" s="3"/>
      <c r="O352" s="3"/>
      <c r="P352" s="3"/>
    </row>
    <row r="353" customFormat="false" ht="15.75" hidden="false" customHeight="true" outlineLevel="0" collapsed="false">
      <c r="A353" s="8" t="n">
        <v>46200</v>
      </c>
      <c r="B353" s="7" t="s">
        <v>191</v>
      </c>
      <c r="C353" s="7" t="s">
        <v>166</v>
      </c>
      <c r="D353" s="7" t="s">
        <v>39</v>
      </c>
      <c r="E353" s="7" t="s">
        <v>160</v>
      </c>
      <c r="F353" s="7" t="n">
        <v>86</v>
      </c>
      <c r="G353" s="7" t="n">
        <v>542</v>
      </c>
      <c r="H353" s="10" t="n">
        <v>0.158671586715867</v>
      </c>
      <c r="I353" s="7" t="n">
        <v>2.48</v>
      </c>
      <c r="J353" s="7" t="s">
        <v>178</v>
      </c>
      <c r="K353" s="7" t="s">
        <v>192</v>
      </c>
      <c r="L353" s="7" t="s">
        <v>178</v>
      </c>
      <c r="M353" s="3"/>
      <c r="N353" s="3"/>
      <c r="O353" s="3"/>
      <c r="P353" s="3"/>
    </row>
    <row r="354" customFormat="false" ht="15.75" hidden="false" customHeight="true" outlineLevel="0" collapsed="false">
      <c r="A354" s="8" t="n">
        <v>46201</v>
      </c>
      <c r="B354" s="7" t="s">
        <v>177</v>
      </c>
      <c r="C354" s="7" t="s">
        <v>164</v>
      </c>
      <c r="D354" s="7" t="s">
        <v>39</v>
      </c>
      <c r="E354" s="7" t="s">
        <v>160</v>
      </c>
      <c r="F354" s="7" t="n">
        <v>80</v>
      </c>
      <c r="G354" s="7" t="n">
        <v>505</v>
      </c>
      <c r="H354" s="10" t="n">
        <v>0.158415841584158</v>
      </c>
      <c r="I354" s="7" t="n">
        <v>2.68</v>
      </c>
      <c r="J354" s="7" t="s">
        <v>178</v>
      </c>
      <c r="K354" s="7" t="s">
        <v>179</v>
      </c>
      <c r="L354" s="7" t="s">
        <v>178</v>
      </c>
      <c r="M354" s="3"/>
      <c r="N354" s="3"/>
      <c r="O354" s="3"/>
      <c r="P354" s="3"/>
    </row>
    <row r="355" customFormat="false" ht="15.75" hidden="false" customHeight="true" outlineLevel="0" collapsed="false">
      <c r="A355" s="8" t="n">
        <v>46201</v>
      </c>
      <c r="B355" s="7" t="s">
        <v>180</v>
      </c>
      <c r="C355" s="7" t="s">
        <v>157</v>
      </c>
      <c r="D355" s="7" t="s">
        <v>39</v>
      </c>
      <c r="E355" s="7" t="s">
        <v>165</v>
      </c>
      <c r="F355" s="7" t="n">
        <v>22</v>
      </c>
      <c r="G355" s="7" t="n">
        <v>817</v>
      </c>
      <c r="H355" s="10" t="n">
        <v>0.0269277845777234</v>
      </c>
      <c r="I355" s="7" t="n">
        <v>7.32</v>
      </c>
      <c r="J355" s="7" t="s">
        <v>181</v>
      </c>
      <c r="K355" s="7" t="s">
        <v>182</v>
      </c>
      <c r="L355" s="7" t="s">
        <v>183</v>
      </c>
      <c r="M355" s="3"/>
      <c r="N355" s="3"/>
      <c r="O355" s="3"/>
      <c r="P355" s="3"/>
    </row>
    <row r="356" customFormat="false" ht="15.75" hidden="false" customHeight="true" outlineLevel="0" collapsed="false">
      <c r="A356" s="8" t="n">
        <v>46201</v>
      </c>
      <c r="B356" s="7" t="s">
        <v>184</v>
      </c>
      <c r="C356" s="7" t="s">
        <v>161</v>
      </c>
      <c r="D356" s="7" t="s">
        <v>39</v>
      </c>
      <c r="E356" s="7" t="s">
        <v>160</v>
      </c>
      <c r="F356" s="7" t="n">
        <v>26</v>
      </c>
      <c r="G356" s="7" t="n">
        <v>955</v>
      </c>
      <c r="H356" s="10" t="n">
        <v>0.0272251308900524</v>
      </c>
      <c r="I356" s="7" t="n">
        <v>7.09</v>
      </c>
      <c r="J356" s="7" t="s">
        <v>181</v>
      </c>
      <c r="K356" s="7" t="s">
        <v>182</v>
      </c>
      <c r="L356" s="7" t="s">
        <v>185</v>
      </c>
      <c r="M356" s="3"/>
      <c r="N356" s="3"/>
      <c r="O356" s="3"/>
      <c r="P356" s="3"/>
    </row>
    <row r="357" customFormat="false" ht="15.75" hidden="false" customHeight="true" outlineLevel="0" collapsed="false">
      <c r="A357" s="8" t="n">
        <v>46201</v>
      </c>
      <c r="B357" s="7" t="s">
        <v>186</v>
      </c>
      <c r="C357" s="7" t="s">
        <v>162</v>
      </c>
      <c r="D357" s="7" t="s">
        <v>39</v>
      </c>
      <c r="E357" s="7" t="s">
        <v>160</v>
      </c>
      <c r="F357" s="7" t="n">
        <v>8</v>
      </c>
      <c r="G357" s="7" t="n">
        <v>671</v>
      </c>
      <c r="H357" s="10" t="n">
        <v>0.0119225037257824</v>
      </c>
      <c r="I357" s="7" t="n">
        <v>11.41</v>
      </c>
      <c r="J357" s="7" t="s">
        <v>181</v>
      </c>
      <c r="K357" s="7" t="s">
        <v>187</v>
      </c>
      <c r="L357" s="7" t="s">
        <v>188</v>
      </c>
      <c r="M357" s="3"/>
      <c r="N357" s="3"/>
      <c r="O357" s="3"/>
      <c r="P357" s="3"/>
    </row>
    <row r="358" customFormat="false" ht="15.75" hidden="false" customHeight="true" outlineLevel="0" collapsed="false">
      <c r="A358" s="8" t="n">
        <v>46201</v>
      </c>
      <c r="B358" s="7" t="s">
        <v>189</v>
      </c>
      <c r="C358" s="7" t="s">
        <v>163</v>
      </c>
      <c r="D358" s="7" t="s">
        <v>39</v>
      </c>
      <c r="E358" s="7" t="s">
        <v>160</v>
      </c>
      <c r="F358" s="7" t="n">
        <v>9</v>
      </c>
      <c r="G358" s="7" t="n">
        <v>738</v>
      </c>
      <c r="H358" s="10" t="n">
        <v>0.0121951219512195</v>
      </c>
      <c r="I358" s="7" t="n">
        <v>11.55</v>
      </c>
      <c r="J358" s="7" t="s">
        <v>181</v>
      </c>
      <c r="K358" s="7" t="s">
        <v>187</v>
      </c>
      <c r="L358" s="7" t="s">
        <v>190</v>
      </c>
      <c r="M358" s="3"/>
      <c r="N358" s="3"/>
      <c r="O358" s="3"/>
      <c r="P358" s="3"/>
    </row>
    <row r="359" customFormat="false" ht="15.75" hidden="false" customHeight="true" outlineLevel="0" collapsed="false">
      <c r="A359" s="8" t="n">
        <v>46201</v>
      </c>
      <c r="B359" s="7" t="s">
        <v>191</v>
      </c>
      <c r="C359" s="7" t="s">
        <v>166</v>
      </c>
      <c r="D359" s="7" t="s">
        <v>39</v>
      </c>
      <c r="E359" s="7" t="s">
        <v>165</v>
      </c>
      <c r="F359" s="7" t="n">
        <v>85</v>
      </c>
      <c r="G359" s="7" t="n">
        <v>537</v>
      </c>
      <c r="H359" s="10" t="n">
        <v>0.15828677839851</v>
      </c>
      <c r="I359" s="7" t="n">
        <v>2.6</v>
      </c>
      <c r="J359" s="7" t="s">
        <v>178</v>
      </c>
      <c r="K359" s="7" t="s">
        <v>192</v>
      </c>
      <c r="L359" s="7" t="s">
        <v>178</v>
      </c>
      <c r="M359" s="3"/>
      <c r="N359" s="3"/>
      <c r="O359" s="3"/>
      <c r="P359" s="3"/>
    </row>
    <row r="360" customFormat="false" ht="15.75" hidden="false" customHeight="true" outlineLevel="0" collapsed="false">
      <c r="A360" s="8" t="n">
        <v>46202</v>
      </c>
      <c r="B360" s="7" t="s">
        <v>177</v>
      </c>
      <c r="C360" s="7" t="s">
        <v>164</v>
      </c>
      <c r="D360" s="7" t="s">
        <v>39</v>
      </c>
      <c r="E360" s="7" t="s">
        <v>165</v>
      </c>
      <c r="F360" s="7" t="n">
        <v>79</v>
      </c>
      <c r="G360" s="7" t="n">
        <v>494</v>
      </c>
      <c r="H360" s="10" t="n">
        <v>0.159919028340081</v>
      </c>
      <c r="I360" s="7" t="n">
        <v>2.66</v>
      </c>
      <c r="J360" s="7" t="s">
        <v>178</v>
      </c>
      <c r="K360" s="7" t="s">
        <v>179</v>
      </c>
      <c r="L360" s="7" t="s">
        <v>178</v>
      </c>
      <c r="M360" s="3"/>
      <c r="N360" s="3"/>
      <c r="O360" s="3"/>
      <c r="P360" s="3"/>
    </row>
    <row r="361" customFormat="false" ht="15.75" hidden="false" customHeight="true" outlineLevel="0" collapsed="false">
      <c r="A361" s="8" t="n">
        <v>46202</v>
      </c>
      <c r="B361" s="7" t="s">
        <v>180</v>
      </c>
      <c r="C361" s="7" t="s">
        <v>157</v>
      </c>
      <c r="D361" s="7" t="s">
        <v>39</v>
      </c>
      <c r="E361" s="7" t="s">
        <v>160</v>
      </c>
      <c r="F361" s="7" t="n">
        <v>23</v>
      </c>
      <c r="G361" s="7" t="n">
        <v>853</v>
      </c>
      <c r="H361" s="10" t="n">
        <v>0.0269636576787808</v>
      </c>
      <c r="I361" s="7" t="n">
        <v>7.36</v>
      </c>
      <c r="J361" s="7" t="s">
        <v>181</v>
      </c>
      <c r="K361" s="7" t="s">
        <v>182</v>
      </c>
      <c r="L361" s="7" t="s">
        <v>183</v>
      </c>
      <c r="M361" s="3"/>
      <c r="N361" s="3"/>
      <c r="O361" s="3"/>
      <c r="P361" s="3"/>
    </row>
    <row r="362" customFormat="false" ht="15.75" hidden="false" customHeight="true" outlineLevel="0" collapsed="false">
      <c r="A362" s="8" t="n">
        <v>46202</v>
      </c>
      <c r="B362" s="7" t="s">
        <v>184</v>
      </c>
      <c r="C362" s="7" t="s">
        <v>161</v>
      </c>
      <c r="D362" s="7" t="s">
        <v>39</v>
      </c>
      <c r="E362" s="7" t="s">
        <v>165</v>
      </c>
      <c r="F362" s="7" t="n">
        <v>25</v>
      </c>
      <c r="G362" s="7" t="n">
        <v>899</v>
      </c>
      <c r="H362" s="10" t="n">
        <v>0.0278086763070078</v>
      </c>
      <c r="I362" s="7" t="n">
        <v>7</v>
      </c>
      <c r="J362" s="7" t="s">
        <v>181</v>
      </c>
      <c r="K362" s="7" t="s">
        <v>182</v>
      </c>
      <c r="L362" s="7" t="s">
        <v>185</v>
      </c>
      <c r="M362" s="3"/>
      <c r="N362" s="3"/>
      <c r="O362" s="3"/>
      <c r="P362" s="3"/>
    </row>
    <row r="363" customFormat="false" ht="15.75" hidden="false" customHeight="true" outlineLevel="0" collapsed="false">
      <c r="A363" s="8" t="n">
        <v>46202</v>
      </c>
      <c r="B363" s="7" t="s">
        <v>186</v>
      </c>
      <c r="C363" s="7" t="s">
        <v>162</v>
      </c>
      <c r="D363" s="7" t="s">
        <v>39</v>
      </c>
      <c r="E363" s="7" t="s">
        <v>160</v>
      </c>
      <c r="F363" s="7" t="n">
        <v>8</v>
      </c>
      <c r="G363" s="7" t="n">
        <v>637</v>
      </c>
      <c r="H363" s="10" t="n">
        <v>0.0125588697017269</v>
      </c>
      <c r="I363" s="7" t="n">
        <v>11.77</v>
      </c>
      <c r="J363" s="7" t="s">
        <v>181</v>
      </c>
      <c r="K363" s="7" t="s">
        <v>187</v>
      </c>
      <c r="L363" s="7" t="s">
        <v>188</v>
      </c>
      <c r="M363" s="3"/>
      <c r="N363" s="3"/>
      <c r="O363" s="3"/>
      <c r="P363" s="3"/>
    </row>
    <row r="364" customFormat="false" ht="15.75" hidden="false" customHeight="true" outlineLevel="0" collapsed="false">
      <c r="A364" s="8" t="n">
        <v>46202</v>
      </c>
      <c r="B364" s="7" t="s">
        <v>189</v>
      </c>
      <c r="C364" s="7" t="s">
        <v>163</v>
      </c>
      <c r="D364" s="7" t="s">
        <v>39</v>
      </c>
      <c r="E364" s="7" t="s">
        <v>160</v>
      </c>
      <c r="F364" s="7" t="n">
        <v>9</v>
      </c>
      <c r="G364" s="7" t="n">
        <v>706</v>
      </c>
      <c r="H364" s="10" t="n">
        <v>0.0127478753541077</v>
      </c>
      <c r="I364" s="7" t="n">
        <v>12.11</v>
      </c>
      <c r="J364" s="7" t="s">
        <v>181</v>
      </c>
      <c r="K364" s="7" t="s">
        <v>187</v>
      </c>
      <c r="L364" s="7" t="s">
        <v>190</v>
      </c>
      <c r="M364" s="3"/>
      <c r="N364" s="3"/>
      <c r="O364" s="3"/>
      <c r="P364" s="3"/>
    </row>
    <row r="365" customFormat="false" ht="15.75" hidden="false" customHeight="true" outlineLevel="0" collapsed="false">
      <c r="A365" s="8" t="n">
        <v>46202</v>
      </c>
      <c r="B365" s="7" t="s">
        <v>191</v>
      </c>
      <c r="C365" s="7" t="s">
        <v>166</v>
      </c>
      <c r="D365" s="7" t="s">
        <v>39</v>
      </c>
      <c r="E365" s="7" t="s">
        <v>160</v>
      </c>
      <c r="F365" s="7" t="n">
        <v>74</v>
      </c>
      <c r="G365" s="7" t="n">
        <v>466</v>
      </c>
      <c r="H365" s="10" t="n">
        <v>0.158798283261803</v>
      </c>
      <c r="I365" s="7" t="n">
        <v>2.57</v>
      </c>
      <c r="J365" s="7" t="s">
        <v>178</v>
      </c>
      <c r="K365" s="7" t="s">
        <v>192</v>
      </c>
      <c r="L365" s="7" t="s">
        <v>178</v>
      </c>
      <c r="M365" s="3"/>
      <c r="N365" s="3"/>
      <c r="O365" s="3"/>
      <c r="P365" s="3"/>
    </row>
    <row r="366" customFormat="false" ht="15.75" hidden="false" customHeight="true" outlineLevel="0" collapsed="false">
      <c r="A366" s="8" t="n">
        <v>46203</v>
      </c>
      <c r="B366" s="7" t="s">
        <v>177</v>
      </c>
      <c r="C366" s="7" t="s">
        <v>164</v>
      </c>
      <c r="D366" s="7" t="s">
        <v>39</v>
      </c>
      <c r="E366" s="7" t="s">
        <v>160</v>
      </c>
      <c r="F366" s="7" t="n">
        <v>95</v>
      </c>
      <c r="G366" s="7" t="n">
        <v>599</v>
      </c>
      <c r="H366" s="10" t="n">
        <v>0.158597662771286</v>
      </c>
      <c r="I366" s="7" t="n">
        <v>1.53</v>
      </c>
      <c r="J366" s="7" t="s">
        <v>178</v>
      </c>
      <c r="K366" s="7" t="s">
        <v>179</v>
      </c>
      <c r="L366" s="7" t="s">
        <v>178</v>
      </c>
      <c r="M366" s="3"/>
      <c r="N366" s="3"/>
      <c r="O366" s="3"/>
      <c r="P366" s="3"/>
    </row>
    <row r="367" customFormat="false" ht="15.75" hidden="false" customHeight="true" outlineLevel="0" collapsed="false">
      <c r="A367" s="8" t="n">
        <v>46203</v>
      </c>
      <c r="B367" s="7" t="s">
        <v>180</v>
      </c>
      <c r="C367" s="7" t="s">
        <v>157</v>
      </c>
      <c r="D367" s="7" t="s">
        <v>39</v>
      </c>
      <c r="E367" s="7" t="s">
        <v>165</v>
      </c>
      <c r="F367" s="7" t="n">
        <v>26</v>
      </c>
      <c r="G367" s="7" t="n">
        <v>961</v>
      </c>
      <c r="H367" s="10" t="n">
        <v>0.0270551508844953</v>
      </c>
      <c r="I367" s="7" t="n">
        <v>7.19</v>
      </c>
      <c r="J367" s="7" t="s">
        <v>181</v>
      </c>
      <c r="K367" s="7" t="s">
        <v>182</v>
      </c>
      <c r="L367" s="7" t="s">
        <v>183</v>
      </c>
      <c r="M367" s="3"/>
      <c r="N367" s="3"/>
      <c r="O367" s="3"/>
      <c r="P367" s="3"/>
    </row>
    <row r="368" customFormat="false" ht="15.75" hidden="false" customHeight="true" outlineLevel="0" collapsed="false">
      <c r="A368" s="8" t="n">
        <v>46203</v>
      </c>
      <c r="B368" s="7" t="s">
        <v>184</v>
      </c>
      <c r="C368" s="7" t="s">
        <v>161</v>
      </c>
      <c r="D368" s="7" t="s">
        <v>39</v>
      </c>
      <c r="E368" s="7" t="s">
        <v>160</v>
      </c>
      <c r="F368" s="7" t="n">
        <v>26</v>
      </c>
      <c r="G368" s="7" t="n">
        <v>963</v>
      </c>
      <c r="H368" s="10" t="n">
        <v>0.0269989615784008</v>
      </c>
      <c r="I368" s="7" t="n">
        <v>7.45</v>
      </c>
      <c r="J368" s="7" t="s">
        <v>181</v>
      </c>
      <c r="K368" s="7" t="s">
        <v>182</v>
      </c>
      <c r="L368" s="7" t="s">
        <v>185</v>
      </c>
      <c r="M368" s="3"/>
      <c r="N368" s="3"/>
      <c r="O368" s="3"/>
      <c r="P368" s="3"/>
    </row>
    <row r="369" customFormat="false" ht="15.75" hidden="false" customHeight="true" outlineLevel="0" collapsed="false">
      <c r="A369" s="8" t="n">
        <v>46203</v>
      </c>
      <c r="B369" s="7" t="s">
        <v>186</v>
      </c>
      <c r="C369" s="7" t="s">
        <v>162</v>
      </c>
      <c r="D369" s="7" t="s">
        <v>39</v>
      </c>
      <c r="E369" s="7" t="s">
        <v>165</v>
      </c>
      <c r="F369" s="7" t="n">
        <v>7</v>
      </c>
      <c r="G369" s="7" t="n">
        <v>606</v>
      </c>
      <c r="H369" s="10" t="n">
        <v>0.0115511551155116</v>
      </c>
      <c r="I369" s="7" t="n">
        <v>11.68</v>
      </c>
      <c r="J369" s="7" t="s">
        <v>181</v>
      </c>
      <c r="K369" s="7" t="s">
        <v>187</v>
      </c>
      <c r="L369" s="7" t="s">
        <v>188</v>
      </c>
      <c r="M369" s="3"/>
      <c r="N369" s="3"/>
      <c r="O369" s="3"/>
      <c r="P369" s="3"/>
    </row>
    <row r="370" customFormat="false" ht="15.75" hidden="false" customHeight="true" outlineLevel="0" collapsed="false">
      <c r="A370" s="8" t="n">
        <v>46203</v>
      </c>
      <c r="B370" s="7" t="s">
        <v>189</v>
      </c>
      <c r="C370" s="7" t="s">
        <v>163</v>
      </c>
      <c r="D370" s="7" t="s">
        <v>39</v>
      </c>
      <c r="E370" s="7" t="s">
        <v>160</v>
      </c>
      <c r="F370" s="7" t="n">
        <v>9</v>
      </c>
      <c r="G370" s="7" t="n">
        <v>737</v>
      </c>
      <c r="H370" s="10" t="n">
        <v>0.0122116689280868</v>
      </c>
      <c r="I370" s="7" t="n">
        <v>11.35</v>
      </c>
      <c r="J370" s="7" t="s">
        <v>181</v>
      </c>
      <c r="K370" s="7" t="s">
        <v>187</v>
      </c>
      <c r="L370" s="7" t="s">
        <v>190</v>
      </c>
      <c r="M370" s="3"/>
      <c r="N370" s="3"/>
      <c r="O370" s="3"/>
      <c r="P370" s="3"/>
    </row>
    <row r="371" customFormat="false" ht="15.75" hidden="false" customHeight="true" outlineLevel="0" collapsed="false">
      <c r="A371" s="8" t="n">
        <v>46203</v>
      </c>
      <c r="B371" s="7" t="s">
        <v>191</v>
      </c>
      <c r="C371" s="7" t="s">
        <v>166</v>
      </c>
      <c r="D371" s="7" t="s">
        <v>39</v>
      </c>
      <c r="E371" s="7" t="s">
        <v>160</v>
      </c>
      <c r="F371" s="7" t="n">
        <v>78</v>
      </c>
      <c r="G371" s="7" t="n">
        <v>489</v>
      </c>
      <c r="H371" s="10" t="n">
        <v>0.159509202453988</v>
      </c>
      <c r="I371" s="7" t="n">
        <v>2.47</v>
      </c>
      <c r="J371" s="7" t="s">
        <v>178</v>
      </c>
      <c r="K371" s="7" t="s">
        <v>192</v>
      </c>
      <c r="L371" s="7" t="s">
        <v>178</v>
      </c>
      <c r="M371" s="3"/>
      <c r="N371" s="3"/>
      <c r="O371" s="3"/>
      <c r="P371" s="3"/>
    </row>
    <row r="372" customFormat="false" ht="15.75" hidden="false" customHeight="true" outlineLevel="0" collapsed="false">
      <c r="A372" s="8" t="n">
        <v>45809</v>
      </c>
      <c r="B372" s="7" t="s">
        <v>177</v>
      </c>
      <c r="C372" s="7" t="s">
        <v>164</v>
      </c>
      <c r="D372" s="7" t="s">
        <v>39</v>
      </c>
      <c r="E372" s="7" t="s">
        <v>160</v>
      </c>
      <c r="F372" s="7" t="n">
        <v>23</v>
      </c>
      <c r="G372" s="7" t="n">
        <v>423</v>
      </c>
      <c r="H372" s="10" t="n">
        <v>0.0543735224586288</v>
      </c>
      <c r="I372" s="7" t="n">
        <v>4.09</v>
      </c>
      <c r="J372" s="7" t="s">
        <v>178</v>
      </c>
      <c r="K372" s="7" t="s">
        <v>179</v>
      </c>
      <c r="L372" s="7" t="s">
        <v>178</v>
      </c>
      <c r="M372" s="3"/>
      <c r="N372" s="3"/>
      <c r="O372" s="3"/>
      <c r="P372" s="3"/>
    </row>
    <row r="373" customFormat="false" ht="15.75" hidden="false" customHeight="true" outlineLevel="0" collapsed="false">
      <c r="A373" s="8" t="n">
        <v>45809</v>
      </c>
      <c r="B373" s="7" t="s">
        <v>180</v>
      </c>
      <c r="C373" s="7" t="s">
        <v>157</v>
      </c>
      <c r="D373" s="7" t="s">
        <v>39</v>
      </c>
      <c r="E373" s="7" t="s">
        <v>160</v>
      </c>
      <c r="F373" s="7" t="n">
        <v>15</v>
      </c>
      <c r="G373" s="7" t="n">
        <v>568</v>
      </c>
      <c r="H373" s="10" t="n">
        <v>0.0264084507042254</v>
      </c>
      <c r="I373" s="7" t="n">
        <v>8.7</v>
      </c>
      <c r="J373" s="7" t="s">
        <v>181</v>
      </c>
      <c r="K373" s="7" t="s">
        <v>182</v>
      </c>
      <c r="L373" s="7" t="s">
        <v>183</v>
      </c>
      <c r="M373" s="3"/>
      <c r="N373" s="3"/>
      <c r="O373" s="3"/>
      <c r="P373" s="3"/>
    </row>
    <row r="374" customFormat="false" ht="15.75" hidden="false" customHeight="true" outlineLevel="0" collapsed="false">
      <c r="A374" s="8" t="n">
        <v>45809</v>
      </c>
      <c r="B374" s="7" t="s">
        <v>184</v>
      </c>
      <c r="C374" s="7" t="s">
        <v>161</v>
      </c>
      <c r="D374" s="7" t="s">
        <v>39</v>
      </c>
      <c r="E374" s="7" t="s">
        <v>160</v>
      </c>
      <c r="F374" s="7" t="n">
        <v>17</v>
      </c>
      <c r="G374" s="7" t="n">
        <v>626</v>
      </c>
      <c r="H374" s="10" t="n">
        <v>0.0271565495207668</v>
      </c>
      <c r="I374" s="7" t="n">
        <v>9.49</v>
      </c>
      <c r="J374" s="7" t="s">
        <v>181</v>
      </c>
      <c r="K374" s="7" t="s">
        <v>182</v>
      </c>
      <c r="L374" s="7" t="s">
        <v>185</v>
      </c>
      <c r="M374" s="3"/>
      <c r="N374" s="3"/>
      <c r="O374" s="3"/>
      <c r="P374" s="3"/>
    </row>
    <row r="375" customFormat="false" ht="15.75" hidden="false" customHeight="true" outlineLevel="0" collapsed="false">
      <c r="A375" s="8" t="n">
        <v>45809</v>
      </c>
      <c r="B375" s="7" t="s">
        <v>186</v>
      </c>
      <c r="C375" s="7" t="s">
        <v>162</v>
      </c>
      <c r="D375" s="7" t="s">
        <v>39</v>
      </c>
      <c r="E375" s="7" t="s">
        <v>160</v>
      </c>
      <c r="F375" s="7" t="n">
        <v>5</v>
      </c>
      <c r="G375" s="7" t="n">
        <v>401</v>
      </c>
      <c r="H375" s="10" t="n">
        <v>0.0124688279301746</v>
      </c>
      <c r="I375" s="7" t="n">
        <v>12.62</v>
      </c>
      <c r="J375" s="7" t="s">
        <v>181</v>
      </c>
      <c r="K375" s="7" t="s">
        <v>187</v>
      </c>
      <c r="L375" s="7" t="s">
        <v>188</v>
      </c>
      <c r="M375" s="3"/>
      <c r="N375" s="3"/>
      <c r="O375" s="3"/>
      <c r="P375" s="3"/>
    </row>
    <row r="376" customFormat="false" ht="15.75" hidden="false" customHeight="true" outlineLevel="0" collapsed="false">
      <c r="A376" s="8" t="n">
        <v>45809</v>
      </c>
      <c r="B376" s="7" t="s">
        <v>189</v>
      </c>
      <c r="C376" s="7" t="s">
        <v>163</v>
      </c>
      <c r="D376" s="7" t="s">
        <v>39</v>
      </c>
      <c r="E376" s="7" t="s">
        <v>160</v>
      </c>
      <c r="F376" s="7" t="n">
        <v>7</v>
      </c>
      <c r="G376" s="7" t="n">
        <v>549</v>
      </c>
      <c r="H376" s="10" t="n">
        <v>0.0127504553734062</v>
      </c>
      <c r="I376" s="7" t="n">
        <v>12.84</v>
      </c>
      <c r="J376" s="7" t="s">
        <v>181</v>
      </c>
      <c r="K376" s="7" t="s">
        <v>187</v>
      </c>
      <c r="L376" s="7" t="s">
        <v>190</v>
      </c>
      <c r="M376" s="3"/>
      <c r="N376" s="3"/>
      <c r="O376" s="3"/>
      <c r="P376" s="3"/>
    </row>
    <row r="377" customFormat="false" ht="15.75" hidden="false" customHeight="true" outlineLevel="0" collapsed="false">
      <c r="A377" s="8" t="n">
        <v>45809</v>
      </c>
      <c r="B377" s="7" t="s">
        <v>191</v>
      </c>
      <c r="C377" s="7" t="s">
        <v>166</v>
      </c>
      <c r="D377" s="7" t="s">
        <v>39</v>
      </c>
      <c r="E377" s="7" t="s">
        <v>160</v>
      </c>
      <c r="F377" s="7" t="n">
        <v>18</v>
      </c>
      <c r="G377" s="7" t="n">
        <v>345</v>
      </c>
      <c r="H377" s="10" t="n">
        <v>0.0521739130434783</v>
      </c>
      <c r="I377" s="7" t="n">
        <v>4.18</v>
      </c>
      <c r="J377" s="7" t="s">
        <v>178</v>
      </c>
      <c r="K377" s="7" t="s">
        <v>192</v>
      </c>
      <c r="L377" s="7" t="s">
        <v>178</v>
      </c>
      <c r="M377" s="3"/>
      <c r="N377" s="3"/>
      <c r="O377" s="3"/>
      <c r="P377" s="3"/>
    </row>
    <row r="378" customFormat="false" ht="15.75" hidden="false" customHeight="true" outlineLevel="0" collapsed="false">
      <c r="A378" s="8" t="n">
        <v>45810</v>
      </c>
      <c r="B378" s="7" t="s">
        <v>177</v>
      </c>
      <c r="C378" s="7" t="s">
        <v>164</v>
      </c>
      <c r="D378" s="7" t="s">
        <v>39</v>
      </c>
      <c r="E378" s="7" t="s">
        <v>160</v>
      </c>
      <c r="F378" s="7" t="n">
        <v>23</v>
      </c>
      <c r="G378" s="7" t="n">
        <v>435</v>
      </c>
      <c r="H378" s="10" t="n">
        <v>0.0528735632183908</v>
      </c>
      <c r="I378" s="7" t="n">
        <v>3.27</v>
      </c>
      <c r="J378" s="7" t="s">
        <v>178</v>
      </c>
      <c r="K378" s="7" t="s">
        <v>179</v>
      </c>
      <c r="L378" s="7" t="s">
        <v>178</v>
      </c>
      <c r="M378" s="3"/>
      <c r="N378" s="3"/>
      <c r="O378" s="3"/>
      <c r="P378" s="3"/>
    </row>
    <row r="379" customFormat="false" ht="15.75" hidden="false" customHeight="true" outlineLevel="0" collapsed="false">
      <c r="A379" s="8" t="n">
        <v>45810</v>
      </c>
      <c r="B379" s="7" t="s">
        <v>180</v>
      </c>
      <c r="C379" s="7" t="s">
        <v>157</v>
      </c>
      <c r="D379" s="7" t="s">
        <v>39</v>
      </c>
      <c r="E379" s="7" t="s">
        <v>160</v>
      </c>
      <c r="F379" s="7" t="n">
        <v>20</v>
      </c>
      <c r="G379" s="7" t="n">
        <v>722</v>
      </c>
      <c r="H379" s="10" t="n">
        <v>0.0277008310249308</v>
      </c>
      <c r="I379" s="7" t="n">
        <v>9.32</v>
      </c>
      <c r="J379" s="7" t="s">
        <v>181</v>
      </c>
      <c r="K379" s="7" t="s">
        <v>182</v>
      </c>
      <c r="L379" s="7" t="s">
        <v>183</v>
      </c>
      <c r="M379" s="3"/>
      <c r="N379" s="3"/>
      <c r="O379" s="3"/>
      <c r="P379" s="3"/>
    </row>
    <row r="380" customFormat="false" ht="15.75" hidden="false" customHeight="true" outlineLevel="0" collapsed="false">
      <c r="A380" s="8" t="n">
        <v>45810</v>
      </c>
      <c r="B380" s="7" t="s">
        <v>184</v>
      </c>
      <c r="C380" s="7" t="s">
        <v>161</v>
      </c>
      <c r="D380" s="7" t="s">
        <v>39</v>
      </c>
      <c r="E380" s="7" t="s">
        <v>165</v>
      </c>
      <c r="F380" s="7" t="n">
        <v>19</v>
      </c>
      <c r="G380" s="7" t="n">
        <v>691</v>
      </c>
      <c r="H380" s="10" t="n">
        <v>0.0274963820549928</v>
      </c>
      <c r="I380" s="7" t="n">
        <v>8.54</v>
      </c>
      <c r="J380" s="7" t="s">
        <v>181</v>
      </c>
      <c r="K380" s="7" t="s">
        <v>182</v>
      </c>
      <c r="L380" s="7" t="s">
        <v>185</v>
      </c>
      <c r="M380" s="3"/>
      <c r="N380" s="3"/>
      <c r="O380" s="3"/>
      <c r="P380" s="3"/>
    </row>
    <row r="381" customFormat="false" ht="15.75" hidden="false" customHeight="true" outlineLevel="0" collapsed="false">
      <c r="A381" s="8" t="n">
        <v>45810</v>
      </c>
      <c r="B381" s="7" t="s">
        <v>186</v>
      </c>
      <c r="C381" s="7" t="s">
        <v>162</v>
      </c>
      <c r="D381" s="7" t="s">
        <v>39</v>
      </c>
      <c r="E381" s="7" t="s">
        <v>160</v>
      </c>
      <c r="F381" s="7" t="n">
        <v>6</v>
      </c>
      <c r="G381" s="7" t="n">
        <v>490</v>
      </c>
      <c r="H381" s="10" t="n">
        <v>0.0122448979591837</v>
      </c>
      <c r="I381" s="7" t="n">
        <v>13.31</v>
      </c>
      <c r="J381" s="7" t="s">
        <v>181</v>
      </c>
      <c r="K381" s="7" t="s">
        <v>187</v>
      </c>
      <c r="L381" s="7" t="s">
        <v>188</v>
      </c>
      <c r="M381" s="3"/>
      <c r="N381" s="3"/>
      <c r="O381" s="3"/>
      <c r="P381" s="3"/>
    </row>
    <row r="382" customFormat="false" ht="15.75" hidden="false" customHeight="true" outlineLevel="0" collapsed="false">
      <c r="A382" s="8" t="n">
        <v>45810</v>
      </c>
      <c r="B382" s="7" t="s">
        <v>189</v>
      </c>
      <c r="C382" s="7" t="s">
        <v>163</v>
      </c>
      <c r="D382" s="7" t="s">
        <v>39</v>
      </c>
      <c r="E382" s="7" t="s">
        <v>165</v>
      </c>
      <c r="F382" s="7" t="n">
        <v>6</v>
      </c>
      <c r="G382" s="7" t="n">
        <v>533</v>
      </c>
      <c r="H382" s="10" t="n">
        <v>0.0112570356472796</v>
      </c>
      <c r="I382" s="7" t="n">
        <v>13.41</v>
      </c>
      <c r="J382" s="7" t="s">
        <v>181</v>
      </c>
      <c r="K382" s="7" t="s">
        <v>187</v>
      </c>
      <c r="L382" s="7" t="s">
        <v>190</v>
      </c>
      <c r="M382" s="3"/>
      <c r="N382" s="3"/>
      <c r="O382" s="3"/>
      <c r="P382" s="3"/>
    </row>
    <row r="383" customFormat="false" ht="15.75" hidden="false" customHeight="true" outlineLevel="0" collapsed="false">
      <c r="A383" s="8" t="n">
        <v>45810</v>
      </c>
      <c r="B383" s="7" t="s">
        <v>191</v>
      </c>
      <c r="C383" s="7" t="s">
        <v>166</v>
      </c>
      <c r="D383" s="7" t="s">
        <v>39</v>
      </c>
      <c r="E383" s="7" t="s">
        <v>160</v>
      </c>
      <c r="F383" s="7" t="n">
        <v>19</v>
      </c>
      <c r="G383" s="7" t="n">
        <v>361</v>
      </c>
      <c r="H383" s="10" t="n">
        <v>0.0526315789473684</v>
      </c>
      <c r="I383" s="7" t="n">
        <v>3.4</v>
      </c>
      <c r="J383" s="7" t="s">
        <v>178</v>
      </c>
      <c r="K383" s="7" t="s">
        <v>192</v>
      </c>
      <c r="L383" s="7" t="s">
        <v>178</v>
      </c>
      <c r="M383" s="3"/>
      <c r="N383" s="3"/>
      <c r="O383" s="3"/>
      <c r="P383" s="3"/>
    </row>
    <row r="384" customFormat="false" ht="15.75" hidden="false" customHeight="true" outlineLevel="0" collapsed="false">
      <c r="A384" s="8" t="n">
        <v>45811</v>
      </c>
      <c r="B384" s="7" t="s">
        <v>177</v>
      </c>
      <c r="C384" s="7" t="s">
        <v>164</v>
      </c>
      <c r="D384" s="7" t="s">
        <v>39</v>
      </c>
      <c r="E384" s="7" t="s">
        <v>165</v>
      </c>
      <c r="F384" s="7" t="n">
        <v>22</v>
      </c>
      <c r="G384" s="7" t="n">
        <v>404</v>
      </c>
      <c r="H384" s="10" t="n">
        <v>0.0544554455445545</v>
      </c>
      <c r="I384" s="7" t="n">
        <v>3.04</v>
      </c>
      <c r="J384" s="7" t="s">
        <v>178</v>
      </c>
      <c r="K384" s="7" t="s">
        <v>179</v>
      </c>
      <c r="L384" s="7" t="s">
        <v>178</v>
      </c>
      <c r="M384" s="3"/>
      <c r="N384" s="3"/>
      <c r="O384" s="3"/>
      <c r="P384" s="3"/>
    </row>
    <row r="385" customFormat="false" ht="15.75" hidden="false" customHeight="true" outlineLevel="0" collapsed="false">
      <c r="A385" s="8" t="n">
        <v>45811</v>
      </c>
      <c r="B385" s="7" t="s">
        <v>180</v>
      </c>
      <c r="C385" s="7" t="s">
        <v>157</v>
      </c>
      <c r="D385" s="7" t="s">
        <v>39</v>
      </c>
      <c r="E385" s="7" t="s">
        <v>160</v>
      </c>
      <c r="F385" s="7" t="n">
        <v>20</v>
      </c>
      <c r="G385" s="7" t="n">
        <v>721</v>
      </c>
      <c r="H385" s="10" t="n">
        <v>0.0277392510402219</v>
      </c>
      <c r="I385" s="7" t="n">
        <v>8.84</v>
      </c>
      <c r="J385" s="7" t="s">
        <v>181</v>
      </c>
      <c r="K385" s="7" t="s">
        <v>182</v>
      </c>
      <c r="L385" s="7" t="s">
        <v>183</v>
      </c>
      <c r="M385" s="3"/>
      <c r="N385" s="3"/>
      <c r="O385" s="3"/>
      <c r="P385" s="3"/>
    </row>
    <row r="386" customFormat="false" ht="15.75" hidden="false" customHeight="true" outlineLevel="0" collapsed="false">
      <c r="A386" s="8" t="n">
        <v>45811</v>
      </c>
      <c r="B386" s="7" t="s">
        <v>184</v>
      </c>
      <c r="C386" s="7" t="s">
        <v>161</v>
      </c>
      <c r="D386" s="7" t="s">
        <v>39</v>
      </c>
      <c r="E386" s="7" t="s">
        <v>165</v>
      </c>
      <c r="F386" s="7" t="n">
        <v>18</v>
      </c>
      <c r="G386" s="7" t="n">
        <v>657</v>
      </c>
      <c r="H386" s="10" t="n">
        <v>0.0273972602739726</v>
      </c>
      <c r="I386" s="7" t="n">
        <v>9.42</v>
      </c>
      <c r="J386" s="7" t="s">
        <v>181</v>
      </c>
      <c r="K386" s="7" t="s">
        <v>182</v>
      </c>
      <c r="L386" s="7" t="s">
        <v>185</v>
      </c>
      <c r="M386" s="3"/>
      <c r="N386" s="3"/>
      <c r="O386" s="3"/>
      <c r="P386" s="3"/>
    </row>
    <row r="387" customFormat="false" ht="15.75" hidden="false" customHeight="true" outlineLevel="0" collapsed="false">
      <c r="A387" s="8" t="n">
        <v>45811</v>
      </c>
      <c r="B387" s="7" t="s">
        <v>186</v>
      </c>
      <c r="C387" s="7" t="s">
        <v>162</v>
      </c>
      <c r="D387" s="7" t="s">
        <v>39</v>
      </c>
      <c r="E387" s="7" t="s">
        <v>165</v>
      </c>
      <c r="F387" s="7" t="n">
        <v>6</v>
      </c>
      <c r="G387" s="7" t="n">
        <v>516</v>
      </c>
      <c r="H387" s="10" t="n">
        <v>0.0116279069767442</v>
      </c>
      <c r="I387" s="7" t="n">
        <v>13.57</v>
      </c>
      <c r="J387" s="7" t="s">
        <v>181</v>
      </c>
      <c r="K387" s="7" t="s">
        <v>187</v>
      </c>
      <c r="L387" s="7" t="s">
        <v>188</v>
      </c>
      <c r="M387" s="3"/>
      <c r="N387" s="3"/>
      <c r="O387" s="3"/>
      <c r="P387" s="3"/>
    </row>
    <row r="388" customFormat="false" ht="15.75" hidden="false" customHeight="true" outlineLevel="0" collapsed="false">
      <c r="A388" s="8" t="n">
        <v>45811</v>
      </c>
      <c r="B388" s="7" t="s">
        <v>189</v>
      </c>
      <c r="C388" s="7" t="s">
        <v>163</v>
      </c>
      <c r="D388" s="7" t="s">
        <v>39</v>
      </c>
      <c r="E388" s="7" t="s">
        <v>160</v>
      </c>
      <c r="F388" s="7" t="n">
        <v>6</v>
      </c>
      <c r="G388" s="7" t="n">
        <v>514</v>
      </c>
      <c r="H388" s="10" t="n">
        <v>0.0116731517509728</v>
      </c>
      <c r="I388" s="7" t="n">
        <v>12.73</v>
      </c>
      <c r="J388" s="7" t="s">
        <v>181</v>
      </c>
      <c r="K388" s="7" t="s">
        <v>187</v>
      </c>
      <c r="L388" s="7" t="s">
        <v>190</v>
      </c>
      <c r="M388" s="3"/>
      <c r="N388" s="3"/>
      <c r="O388" s="3"/>
      <c r="P388" s="3"/>
    </row>
    <row r="389" customFormat="false" ht="15.75" hidden="false" customHeight="true" outlineLevel="0" collapsed="false">
      <c r="A389" s="8" t="n">
        <v>45811</v>
      </c>
      <c r="B389" s="7" t="s">
        <v>191</v>
      </c>
      <c r="C389" s="7" t="s">
        <v>166</v>
      </c>
      <c r="D389" s="7" t="s">
        <v>39</v>
      </c>
      <c r="E389" s="7" t="s">
        <v>165</v>
      </c>
      <c r="F389" s="7" t="n">
        <v>19</v>
      </c>
      <c r="G389" s="7" t="n">
        <v>362</v>
      </c>
      <c r="H389" s="10" t="n">
        <v>0.0524861878453039</v>
      </c>
      <c r="I389" s="7" t="n">
        <v>4.23</v>
      </c>
      <c r="J389" s="7" t="s">
        <v>178</v>
      </c>
      <c r="K389" s="7" t="s">
        <v>192</v>
      </c>
      <c r="L389" s="7" t="s">
        <v>178</v>
      </c>
      <c r="M389" s="3"/>
      <c r="N389" s="3"/>
      <c r="O389" s="3"/>
      <c r="P389" s="3"/>
    </row>
    <row r="390" customFormat="false" ht="15.75" hidden="false" customHeight="true" outlineLevel="0" collapsed="false">
      <c r="A390" s="8" t="n">
        <v>45812</v>
      </c>
      <c r="B390" s="7" t="s">
        <v>177</v>
      </c>
      <c r="C390" s="7" t="s">
        <v>164</v>
      </c>
      <c r="D390" s="7" t="s">
        <v>39</v>
      </c>
      <c r="E390" s="7" t="s">
        <v>160</v>
      </c>
      <c r="F390" s="7" t="n">
        <v>19</v>
      </c>
      <c r="G390" s="7" t="n">
        <v>353</v>
      </c>
      <c r="H390" s="10" t="n">
        <v>0.0538243626062323</v>
      </c>
      <c r="I390" s="7" t="n">
        <v>3.1</v>
      </c>
      <c r="J390" s="7" t="s">
        <v>178</v>
      </c>
      <c r="K390" s="7" t="s">
        <v>179</v>
      </c>
      <c r="L390" s="7" t="s">
        <v>178</v>
      </c>
      <c r="M390" s="3"/>
      <c r="N390" s="3"/>
      <c r="O390" s="3"/>
      <c r="P390" s="3"/>
    </row>
    <row r="391" customFormat="false" ht="15.75" hidden="false" customHeight="true" outlineLevel="0" collapsed="false">
      <c r="A391" s="8" t="n">
        <v>45812</v>
      </c>
      <c r="B391" s="7" t="s">
        <v>180</v>
      </c>
      <c r="C391" s="7" t="s">
        <v>157</v>
      </c>
      <c r="D391" s="7" t="s">
        <v>39</v>
      </c>
      <c r="E391" s="7" t="s">
        <v>160</v>
      </c>
      <c r="F391" s="7" t="n">
        <v>18</v>
      </c>
      <c r="G391" s="7" t="n">
        <v>648</v>
      </c>
      <c r="H391" s="10" t="n">
        <v>0.0277777777777778</v>
      </c>
      <c r="I391" s="7" t="n">
        <v>8.96</v>
      </c>
      <c r="J391" s="7" t="s">
        <v>181</v>
      </c>
      <c r="K391" s="7" t="s">
        <v>182</v>
      </c>
      <c r="L391" s="7" t="s">
        <v>183</v>
      </c>
      <c r="M391" s="3"/>
      <c r="N391" s="3"/>
      <c r="O391" s="3"/>
      <c r="P391" s="3"/>
    </row>
    <row r="392" customFormat="false" ht="15.75" hidden="false" customHeight="true" outlineLevel="0" collapsed="false">
      <c r="A392" s="8" t="n">
        <v>45812</v>
      </c>
      <c r="B392" s="7" t="s">
        <v>184</v>
      </c>
      <c r="C392" s="7" t="s">
        <v>161</v>
      </c>
      <c r="D392" s="7" t="s">
        <v>39</v>
      </c>
      <c r="E392" s="7" t="s">
        <v>160</v>
      </c>
      <c r="F392" s="7" t="n">
        <v>17</v>
      </c>
      <c r="G392" s="7" t="n">
        <v>642</v>
      </c>
      <c r="H392" s="10" t="n">
        <v>0.0264797507788162</v>
      </c>
      <c r="I392" s="7" t="n">
        <v>8.25</v>
      </c>
      <c r="J392" s="7" t="s">
        <v>181</v>
      </c>
      <c r="K392" s="7" t="s">
        <v>182</v>
      </c>
      <c r="L392" s="7" t="s">
        <v>185</v>
      </c>
      <c r="M392" s="3"/>
      <c r="N392" s="3"/>
      <c r="O392" s="3"/>
      <c r="P392" s="3"/>
    </row>
    <row r="393" customFormat="false" ht="15.75" hidden="false" customHeight="true" outlineLevel="0" collapsed="false">
      <c r="A393" s="8" t="n">
        <v>45812</v>
      </c>
      <c r="B393" s="7" t="s">
        <v>186</v>
      </c>
      <c r="C393" s="7" t="s">
        <v>162</v>
      </c>
      <c r="D393" s="7" t="s">
        <v>39</v>
      </c>
      <c r="E393" s="7" t="s">
        <v>160</v>
      </c>
      <c r="F393" s="7" t="n">
        <v>6</v>
      </c>
      <c r="G393" s="7" t="n">
        <v>489</v>
      </c>
      <c r="H393" s="10" t="n">
        <v>0.0122699386503068</v>
      </c>
      <c r="I393" s="7" t="n">
        <v>13.99</v>
      </c>
      <c r="J393" s="7" t="s">
        <v>181</v>
      </c>
      <c r="K393" s="7" t="s">
        <v>187</v>
      </c>
      <c r="L393" s="7" t="s">
        <v>188</v>
      </c>
      <c r="M393" s="3"/>
      <c r="N393" s="3"/>
      <c r="O393" s="3"/>
      <c r="P393" s="3"/>
    </row>
    <row r="394" customFormat="false" ht="15.75" hidden="false" customHeight="true" outlineLevel="0" collapsed="false">
      <c r="A394" s="8" t="n">
        <v>45812</v>
      </c>
      <c r="B394" s="7" t="s">
        <v>189</v>
      </c>
      <c r="C394" s="7" t="s">
        <v>163</v>
      </c>
      <c r="D394" s="7" t="s">
        <v>39</v>
      </c>
      <c r="E394" s="7" t="s">
        <v>160</v>
      </c>
      <c r="F394" s="7" t="n">
        <v>5</v>
      </c>
      <c r="G394" s="7" t="n">
        <v>426</v>
      </c>
      <c r="H394" s="10" t="n">
        <v>0.0117370892018779</v>
      </c>
      <c r="I394" s="7" t="n">
        <v>12.62</v>
      </c>
      <c r="J394" s="7" t="s">
        <v>181</v>
      </c>
      <c r="K394" s="7" t="s">
        <v>187</v>
      </c>
      <c r="L394" s="7" t="s">
        <v>190</v>
      </c>
      <c r="M394" s="3"/>
      <c r="N394" s="3"/>
      <c r="O394" s="3"/>
      <c r="P394" s="3"/>
    </row>
    <row r="395" customFormat="false" ht="15.75" hidden="false" customHeight="true" outlineLevel="0" collapsed="false">
      <c r="A395" s="8" t="n">
        <v>45812</v>
      </c>
      <c r="B395" s="7" t="s">
        <v>191</v>
      </c>
      <c r="C395" s="7" t="s">
        <v>166</v>
      </c>
      <c r="D395" s="7" t="s">
        <v>39</v>
      </c>
      <c r="E395" s="7" t="s">
        <v>165</v>
      </c>
      <c r="F395" s="7" t="n">
        <v>22</v>
      </c>
      <c r="G395" s="7" t="n">
        <v>403</v>
      </c>
      <c r="H395" s="10" t="n">
        <v>0.054590570719603</v>
      </c>
      <c r="I395" s="7" t="n">
        <v>4</v>
      </c>
      <c r="J395" s="7" t="s">
        <v>178</v>
      </c>
      <c r="K395" s="7" t="s">
        <v>192</v>
      </c>
      <c r="L395" s="7" t="s">
        <v>178</v>
      </c>
      <c r="M395" s="3"/>
      <c r="N395" s="3"/>
      <c r="O395" s="3"/>
      <c r="P395" s="3"/>
    </row>
    <row r="396" customFormat="false" ht="15.75" hidden="false" customHeight="true" outlineLevel="0" collapsed="false">
      <c r="A396" s="8" t="n">
        <v>45813</v>
      </c>
      <c r="B396" s="7" t="s">
        <v>177</v>
      </c>
      <c r="C396" s="7" t="s">
        <v>164</v>
      </c>
      <c r="D396" s="7" t="s">
        <v>39</v>
      </c>
      <c r="E396" s="7" t="s">
        <v>165</v>
      </c>
      <c r="F396" s="7" t="n">
        <v>22</v>
      </c>
      <c r="G396" s="7" t="n">
        <v>418</v>
      </c>
      <c r="H396" s="10" t="n">
        <v>0.0526315789473684</v>
      </c>
      <c r="I396" s="7" t="n">
        <v>3.79</v>
      </c>
      <c r="J396" s="7" t="s">
        <v>178</v>
      </c>
      <c r="K396" s="7" t="s">
        <v>179</v>
      </c>
      <c r="L396" s="7" t="s">
        <v>178</v>
      </c>
      <c r="M396" s="3"/>
      <c r="N396" s="3"/>
      <c r="O396" s="3"/>
      <c r="P396" s="3"/>
    </row>
    <row r="397" customFormat="false" ht="15.75" hidden="false" customHeight="true" outlineLevel="0" collapsed="false">
      <c r="A397" s="8" t="n">
        <v>45813</v>
      </c>
      <c r="B397" s="7" t="s">
        <v>180</v>
      </c>
      <c r="C397" s="7" t="s">
        <v>157</v>
      </c>
      <c r="D397" s="7" t="s">
        <v>39</v>
      </c>
      <c r="E397" s="7" t="s">
        <v>160</v>
      </c>
      <c r="F397" s="7" t="n">
        <v>18</v>
      </c>
      <c r="G397" s="7" t="n">
        <v>674</v>
      </c>
      <c r="H397" s="10" t="n">
        <v>0.0267062314540059</v>
      </c>
      <c r="I397" s="7" t="n">
        <v>9.03</v>
      </c>
      <c r="J397" s="7" t="s">
        <v>181</v>
      </c>
      <c r="K397" s="7" t="s">
        <v>182</v>
      </c>
      <c r="L397" s="7" t="s">
        <v>183</v>
      </c>
      <c r="M397" s="3"/>
      <c r="N397" s="3"/>
      <c r="O397" s="3"/>
      <c r="P397" s="3"/>
    </row>
    <row r="398" customFormat="false" ht="15.75" hidden="false" customHeight="true" outlineLevel="0" collapsed="false">
      <c r="A398" s="8" t="n">
        <v>45813</v>
      </c>
      <c r="B398" s="7" t="s">
        <v>184</v>
      </c>
      <c r="C398" s="7" t="s">
        <v>161</v>
      </c>
      <c r="D398" s="7" t="s">
        <v>39</v>
      </c>
      <c r="E398" s="7" t="s">
        <v>160</v>
      </c>
      <c r="F398" s="7" t="n">
        <v>16</v>
      </c>
      <c r="G398" s="7" t="n">
        <v>577</v>
      </c>
      <c r="H398" s="10" t="n">
        <v>0.0277296360485269</v>
      </c>
      <c r="I398" s="7" t="n">
        <v>9.02</v>
      </c>
      <c r="J398" s="7" t="s">
        <v>181</v>
      </c>
      <c r="K398" s="7" t="s">
        <v>182</v>
      </c>
      <c r="L398" s="7" t="s">
        <v>185</v>
      </c>
      <c r="M398" s="3"/>
      <c r="N398" s="3"/>
      <c r="O398" s="3"/>
      <c r="P398" s="3"/>
    </row>
    <row r="399" customFormat="false" ht="15.75" hidden="false" customHeight="true" outlineLevel="0" collapsed="false">
      <c r="A399" s="8" t="n">
        <v>45813</v>
      </c>
      <c r="B399" s="7" t="s">
        <v>186</v>
      </c>
      <c r="C399" s="7" t="s">
        <v>162</v>
      </c>
      <c r="D399" s="7" t="s">
        <v>39</v>
      </c>
      <c r="E399" s="7" t="s">
        <v>160</v>
      </c>
      <c r="F399" s="7" t="n">
        <v>6</v>
      </c>
      <c r="G399" s="7" t="n">
        <v>516</v>
      </c>
      <c r="H399" s="10" t="n">
        <v>0.0116279069767442</v>
      </c>
      <c r="I399" s="7" t="n">
        <v>13.64</v>
      </c>
      <c r="J399" s="7" t="s">
        <v>181</v>
      </c>
      <c r="K399" s="7" t="s">
        <v>187</v>
      </c>
      <c r="L399" s="7" t="s">
        <v>188</v>
      </c>
      <c r="M399" s="3"/>
      <c r="N399" s="3"/>
      <c r="O399" s="3"/>
      <c r="P399" s="3"/>
    </row>
    <row r="400" customFormat="false" ht="15.75" hidden="false" customHeight="true" outlineLevel="0" collapsed="false">
      <c r="A400" s="8" t="n">
        <v>45813</v>
      </c>
      <c r="B400" s="7" t="s">
        <v>189</v>
      </c>
      <c r="C400" s="7" t="s">
        <v>163</v>
      </c>
      <c r="D400" s="7" t="s">
        <v>39</v>
      </c>
      <c r="E400" s="7" t="s">
        <v>160</v>
      </c>
      <c r="F400" s="7" t="n">
        <v>6</v>
      </c>
      <c r="G400" s="7" t="n">
        <v>525</v>
      </c>
      <c r="H400" s="10" t="n">
        <v>0.0114285714285714</v>
      </c>
      <c r="I400" s="7" t="n">
        <v>12.9</v>
      </c>
      <c r="J400" s="7" t="s">
        <v>181</v>
      </c>
      <c r="K400" s="7" t="s">
        <v>187</v>
      </c>
      <c r="L400" s="7" t="s">
        <v>190</v>
      </c>
      <c r="M400" s="3"/>
      <c r="N400" s="3"/>
      <c r="O400" s="3"/>
      <c r="P400" s="3"/>
    </row>
    <row r="401" customFormat="false" ht="15.75" hidden="false" customHeight="true" outlineLevel="0" collapsed="false">
      <c r="A401" s="8" t="n">
        <v>45813</v>
      </c>
      <c r="B401" s="7" t="s">
        <v>191</v>
      </c>
      <c r="C401" s="7" t="s">
        <v>166</v>
      </c>
      <c r="D401" s="7" t="s">
        <v>39</v>
      </c>
      <c r="E401" s="7" t="s">
        <v>165</v>
      </c>
      <c r="F401" s="7" t="n">
        <v>24</v>
      </c>
      <c r="G401" s="7" t="n">
        <v>443</v>
      </c>
      <c r="H401" s="10" t="n">
        <v>0.054176072234763</v>
      </c>
      <c r="I401" s="7" t="n">
        <v>4.14</v>
      </c>
      <c r="J401" s="7" t="s">
        <v>178</v>
      </c>
      <c r="K401" s="7" t="s">
        <v>192</v>
      </c>
      <c r="L401" s="7" t="s">
        <v>178</v>
      </c>
      <c r="M401" s="3"/>
      <c r="N401" s="3"/>
      <c r="O401" s="3"/>
      <c r="P401" s="3"/>
    </row>
    <row r="402" customFormat="false" ht="15.75" hidden="false" customHeight="true" outlineLevel="0" collapsed="false">
      <c r="A402" s="8" t="n">
        <v>45814</v>
      </c>
      <c r="B402" s="7" t="s">
        <v>177</v>
      </c>
      <c r="C402" s="7" t="s">
        <v>164</v>
      </c>
      <c r="D402" s="7" t="s">
        <v>39</v>
      </c>
      <c r="E402" s="7" t="s">
        <v>160</v>
      </c>
      <c r="F402" s="7" t="n">
        <v>25</v>
      </c>
      <c r="G402" s="7" t="n">
        <v>461</v>
      </c>
      <c r="H402" s="10" t="n">
        <v>0.0542299349240781</v>
      </c>
      <c r="I402" s="7" t="n">
        <v>3.02</v>
      </c>
      <c r="J402" s="7" t="s">
        <v>178</v>
      </c>
      <c r="K402" s="7" t="s">
        <v>179</v>
      </c>
      <c r="L402" s="7" t="s">
        <v>178</v>
      </c>
      <c r="M402" s="3"/>
      <c r="N402" s="3"/>
      <c r="O402" s="3"/>
      <c r="P402" s="3"/>
    </row>
    <row r="403" customFormat="false" ht="15.75" hidden="false" customHeight="true" outlineLevel="0" collapsed="false">
      <c r="A403" s="8" t="n">
        <v>45814</v>
      </c>
      <c r="B403" s="7" t="s">
        <v>180</v>
      </c>
      <c r="C403" s="7" t="s">
        <v>157</v>
      </c>
      <c r="D403" s="7" t="s">
        <v>39</v>
      </c>
      <c r="E403" s="7" t="s">
        <v>160</v>
      </c>
      <c r="F403" s="7" t="n">
        <v>17</v>
      </c>
      <c r="G403" s="7" t="n">
        <v>617</v>
      </c>
      <c r="H403" s="10" t="n">
        <v>0.0275526742301459</v>
      </c>
      <c r="I403" s="7" t="n">
        <v>9.05</v>
      </c>
      <c r="J403" s="7" t="s">
        <v>181</v>
      </c>
      <c r="K403" s="7" t="s">
        <v>182</v>
      </c>
      <c r="L403" s="7" t="s">
        <v>183</v>
      </c>
      <c r="M403" s="3"/>
      <c r="N403" s="3"/>
      <c r="O403" s="3"/>
      <c r="P403" s="3"/>
    </row>
    <row r="404" customFormat="false" ht="15.75" hidden="false" customHeight="true" outlineLevel="0" collapsed="false">
      <c r="A404" s="8" t="n">
        <v>45814</v>
      </c>
      <c r="B404" s="7" t="s">
        <v>184</v>
      </c>
      <c r="C404" s="7" t="s">
        <v>161</v>
      </c>
      <c r="D404" s="7" t="s">
        <v>39</v>
      </c>
      <c r="E404" s="7" t="s">
        <v>165</v>
      </c>
      <c r="F404" s="7" t="n">
        <v>17</v>
      </c>
      <c r="G404" s="7" t="n">
        <v>642</v>
      </c>
      <c r="H404" s="10" t="n">
        <v>0.0264797507788162</v>
      </c>
      <c r="I404" s="7" t="n">
        <v>8.67</v>
      </c>
      <c r="J404" s="7" t="s">
        <v>181</v>
      </c>
      <c r="K404" s="7" t="s">
        <v>182</v>
      </c>
      <c r="L404" s="7" t="s">
        <v>185</v>
      </c>
      <c r="M404" s="3"/>
      <c r="N404" s="3"/>
      <c r="O404" s="3"/>
      <c r="P404" s="3"/>
    </row>
    <row r="405" customFormat="false" ht="15.75" hidden="false" customHeight="true" outlineLevel="0" collapsed="false">
      <c r="A405" s="8" t="n">
        <v>45814</v>
      </c>
      <c r="B405" s="7" t="s">
        <v>186</v>
      </c>
      <c r="C405" s="7" t="s">
        <v>162</v>
      </c>
      <c r="D405" s="7" t="s">
        <v>39</v>
      </c>
      <c r="E405" s="7" t="s">
        <v>165</v>
      </c>
      <c r="F405" s="7" t="n">
        <v>7</v>
      </c>
      <c r="G405" s="7" t="n">
        <v>541</v>
      </c>
      <c r="H405" s="10" t="n">
        <v>0.0129390018484288</v>
      </c>
      <c r="I405" s="7" t="n">
        <v>13.33</v>
      </c>
      <c r="J405" s="7" t="s">
        <v>181</v>
      </c>
      <c r="K405" s="7" t="s">
        <v>187</v>
      </c>
      <c r="L405" s="7" t="s">
        <v>188</v>
      </c>
      <c r="M405" s="3"/>
      <c r="N405" s="3"/>
      <c r="O405" s="3"/>
      <c r="P405" s="3"/>
    </row>
    <row r="406" customFormat="false" ht="15.75" hidden="false" customHeight="true" outlineLevel="0" collapsed="false">
      <c r="A406" s="8" t="n">
        <v>45814</v>
      </c>
      <c r="B406" s="7" t="s">
        <v>189</v>
      </c>
      <c r="C406" s="7" t="s">
        <v>163</v>
      </c>
      <c r="D406" s="7" t="s">
        <v>39</v>
      </c>
      <c r="E406" s="7" t="s">
        <v>165</v>
      </c>
      <c r="F406" s="7" t="n">
        <v>5</v>
      </c>
      <c r="G406" s="7" t="n">
        <v>445</v>
      </c>
      <c r="H406" s="10" t="n">
        <v>0.0112359550561798</v>
      </c>
      <c r="I406" s="7" t="n">
        <v>12.97</v>
      </c>
      <c r="J406" s="7" t="s">
        <v>181</v>
      </c>
      <c r="K406" s="7" t="s">
        <v>187</v>
      </c>
      <c r="L406" s="7" t="s">
        <v>190</v>
      </c>
      <c r="M406" s="3"/>
      <c r="N406" s="3"/>
      <c r="O406" s="3"/>
      <c r="P406" s="3"/>
    </row>
    <row r="407" customFormat="false" ht="15.75" hidden="false" customHeight="true" outlineLevel="0" collapsed="false">
      <c r="A407" s="8" t="n">
        <v>45814</v>
      </c>
      <c r="B407" s="7" t="s">
        <v>191</v>
      </c>
      <c r="C407" s="7" t="s">
        <v>166</v>
      </c>
      <c r="D407" s="7" t="s">
        <v>39</v>
      </c>
      <c r="E407" s="7" t="s">
        <v>160</v>
      </c>
      <c r="F407" s="7" t="n">
        <v>19</v>
      </c>
      <c r="G407" s="7" t="n">
        <v>361</v>
      </c>
      <c r="H407" s="10" t="n">
        <v>0.0526315789473684</v>
      </c>
      <c r="I407" s="7" t="n">
        <v>4.06</v>
      </c>
      <c r="J407" s="7" t="s">
        <v>178</v>
      </c>
      <c r="K407" s="7" t="s">
        <v>192</v>
      </c>
      <c r="L407" s="7" t="s">
        <v>178</v>
      </c>
      <c r="M407" s="3"/>
      <c r="N407" s="3"/>
      <c r="O407" s="3"/>
      <c r="P407" s="3"/>
    </row>
    <row r="408" customFormat="false" ht="15.75" hidden="false" customHeight="true" outlineLevel="0" collapsed="false">
      <c r="A408" s="8" t="n">
        <v>45815</v>
      </c>
      <c r="B408" s="7" t="s">
        <v>177</v>
      </c>
      <c r="C408" s="7" t="s">
        <v>164</v>
      </c>
      <c r="D408" s="7" t="s">
        <v>39</v>
      </c>
      <c r="E408" s="7" t="s">
        <v>160</v>
      </c>
      <c r="F408" s="7" t="n">
        <v>17</v>
      </c>
      <c r="G408" s="7" t="n">
        <v>312</v>
      </c>
      <c r="H408" s="10" t="n">
        <v>0.0544871794871795</v>
      </c>
      <c r="I408" s="7" t="n">
        <v>4.02</v>
      </c>
      <c r="J408" s="7" t="s">
        <v>178</v>
      </c>
      <c r="K408" s="7" t="s">
        <v>179</v>
      </c>
      <c r="L408" s="7" t="s">
        <v>178</v>
      </c>
      <c r="M408" s="3"/>
      <c r="N408" s="3"/>
      <c r="O408" s="3"/>
      <c r="P408" s="3"/>
    </row>
    <row r="409" customFormat="false" ht="15.75" hidden="false" customHeight="true" outlineLevel="0" collapsed="false">
      <c r="A409" s="8" t="n">
        <v>45815</v>
      </c>
      <c r="B409" s="7" t="s">
        <v>180</v>
      </c>
      <c r="C409" s="7" t="s">
        <v>157</v>
      </c>
      <c r="D409" s="7" t="s">
        <v>39</v>
      </c>
      <c r="E409" s="7" t="s">
        <v>165</v>
      </c>
      <c r="F409" s="7" t="n">
        <v>17</v>
      </c>
      <c r="G409" s="7" t="n">
        <v>614</v>
      </c>
      <c r="H409" s="10" t="n">
        <v>0.0276872964169381</v>
      </c>
      <c r="I409" s="7" t="n">
        <v>9.09</v>
      </c>
      <c r="J409" s="7" t="s">
        <v>181</v>
      </c>
      <c r="K409" s="7" t="s">
        <v>182</v>
      </c>
      <c r="L409" s="7" t="s">
        <v>183</v>
      </c>
      <c r="M409" s="3"/>
      <c r="N409" s="3"/>
      <c r="O409" s="3"/>
      <c r="P409" s="3"/>
    </row>
    <row r="410" customFormat="false" ht="15.75" hidden="false" customHeight="true" outlineLevel="0" collapsed="false">
      <c r="A410" s="8" t="n">
        <v>45815</v>
      </c>
      <c r="B410" s="7" t="s">
        <v>184</v>
      </c>
      <c r="C410" s="7" t="s">
        <v>161</v>
      </c>
      <c r="D410" s="7" t="s">
        <v>39</v>
      </c>
      <c r="E410" s="7" t="s">
        <v>165</v>
      </c>
      <c r="F410" s="7" t="n">
        <v>19</v>
      </c>
      <c r="G410" s="7" t="n">
        <v>684</v>
      </c>
      <c r="H410" s="10" t="n">
        <v>0.0277777777777778</v>
      </c>
      <c r="I410" s="7" t="n">
        <v>9.1</v>
      </c>
      <c r="J410" s="7" t="s">
        <v>181</v>
      </c>
      <c r="K410" s="7" t="s">
        <v>182</v>
      </c>
      <c r="L410" s="7" t="s">
        <v>185</v>
      </c>
      <c r="M410" s="3"/>
      <c r="N410" s="3"/>
      <c r="O410" s="3"/>
      <c r="P410" s="3"/>
    </row>
    <row r="411" customFormat="false" ht="15.75" hidden="false" customHeight="true" outlineLevel="0" collapsed="false">
      <c r="A411" s="8" t="n">
        <v>45815</v>
      </c>
      <c r="B411" s="7" t="s">
        <v>186</v>
      </c>
      <c r="C411" s="7" t="s">
        <v>162</v>
      </c>
      <c r="D411" s="7" t="s">
        <v>39</v>
      </c>
      <c r="E411" s="7" t="s">
        <v>165</v>
      </c>
      <c r="F411" s="7" t="n">
        <v>6</v>
      </c>
      <c r="G411" s="7" t="n">
        <v>464</v>
      </c>
      <c r="H411" s="10" t="n">
        <v>0.0129310344827586</v>
      </c>
      <c r="I411" s="7" t="n">
        <v>13.86</v>
      </c>
      <c r="J411" s="7" t="s">
        <v>181</v>
      </c>
      <c r="K411" s="7" t="s">
        <v>187</v>
      </c>
      <c r="L411" s="7" t="s">
        <v>188</v>
      </c>
      <c r="M411" s="3"/>
      <c r="N411" s="3"/>
      <c r="O411" s="3"/>
      <c r="P411" s="3"/>
    </row>
    <row r="412" customFormat="false" ht="15.75" hidden="false" customHeight="true" outlineLevel="0" collapsed="false">
      <c r="A412" s="8" t="n">
        <v>45815</v>
      </c>
      <c r="B412" s="7" t="s">
        <v>189</v>
      </c>
      <c r="C412" s="7" t="s">
        <v>163</v>
      </c>
      <c r="D412" s="7" t="s">
        <v>39</v>
      </c>
      <c r="E412" s="7" t="s">
        <v>160</v>
      </c>
      <c r="F412" s="7" t="n">
        <v>6</v>
      </c>
      <c r="G412" s="7" t="n">
        <v>479</v>
      </c>
      <c r="H412" s="10" t="n">
        <v>0.0125260960334029</v>
      </c>
      <c r="I412" s="7" t="n">
        <v>13.49</v>
      </c>
      <c r="J412" s="7" t="s">
        <v>181</v>
      </c>
      <c r="K412" s="7" t="s">
        <v>187</v>
      </c>
      <c r="L412" s="7" t="s">
        <v>190</v>
      </c>
      <c r="M412" s="3"/>
      <c r="N412" s="3"/>
      <c r="O412" s="3"/>
      <c r="P412" s="3"/>
    </row>
    <row r="413" customFormat="false" ht="15.75" hidden="false" customHeight="true" outlineLevel="0" collapsed="false">
      <c r="A413" s="8" t="n">
        <v>45815</v>
      </c>
      <c r="B413" s="7" t="s">
        <v>191</v>
      </c>
      <c r="C413" s="7" t="s">
        <v>166</v>
      </c>
      <c r="D413" s="7" t="s">
        <v>39</v>
      </c>
      <c r="E413" s="7" t="s">
        <v>160</v>
      </c>
      <c r="F413" s="7" t="n">
        <v>17</v>
      </c>
      <c r="G413" s="7" t="n">
        <v>315</v>
      </c>
      <c r="H413" s="10" t="n">
        <v>0.053968253968254</v>
      </c>
      <c r="I413" s="7" t="n">
        <v>4.21</v>
      </c>
      <c r="J413" s="7" t="s">
        <v>178</v>
      </c>
      <c r="K413" s="7" t="s">
        <v>192</v>
      </c>
      <c r="L413" s="7" t="s">
        <v>178</v>
      </c>
      <c r="M413" s="3"/>
      <c r="N413" s="3"/>
      <c r="O413" s="3"/>
      <c r="P413" s="3"/>
    </row>
    <row r="414" customFormat="false" ht="15.75" hidden="false" customHeight="true" outlineLevel="0" collapsed="false">
      <c r="A414" s="8" t="n">
        <v>45816</v>
      </c>
      <c r="B414" s="7" t="s">
        <v>177</v>
      </c>
      <c r="C414" s="7" t="s">
        <v>164</v>
      </c>
      <c r="D414" s="7" t="s">
        <v>39</v>
      </c>
      <c r="E414" s="7" t="s">
        <v>160</v>
      </c>
      <c r="F414" s="7" t="n">
        <v>20</v>
      </c>
      <c r="G414" s="7" t="n">
        <v>368</v>
      </c>
      <c r="H414" s="10" t="n">
        <v>0.0543478260869565</v>
      </c>
      <c r="I414" s="7" t="n">
        <v>3.54</v>
      </c>
      <c r="J414" s="7" t="s">
        <v>178</v>
      </c>
      <c r="K414" s="7" t="s">
        <v>179</v>
      </c>
      <c r="L414" s="7" t="s">
        <v>178</v>
      </c>
      <c r="M414" s="3"/>
      <c r="N414" s="3"/>
      <c r="O414" s="3"/>
      <c r="P414" s="3"/>
    </row>
    <row r="415" customFormat="false" ht="15.75" hidden="false" customHeight="true" outlineLevel="0" collapsed="false">
      <c r="A415" s="8" t="n">
        <v>45816</v>
      </c>
      <c r="B415" s="7" t="s">
        <v>180</v>
      </c>
      <c r="C415" s="7" t="s">
        <v>157</v>
      </c>
      <c r="D415" s="7" t="s">
        <v>39</v>
      </c>
      <c r="E415" s="7" t="s">
        <v>165</v>
      </c>
      <c r="F415" s="7" t="n">
        <v>18</v>
      </c>
      <c r="G415" s="7" t="n">
        <v>669</v>
      </c>
      <c r="H415" s="10" t="n">
        <v>0.0269058295964126</v>
      </c>
      <c r="I415" s="7" t="n">
        <v>8.89</v>
      </c>
      <c r="J415" s="7" t="s">
        <v>181</v>
      </c>
      <c r="K415" s="7" t="s">
        <v>182</v>
      </c>
      <c r="L415" s="7" t="s">
        <v>183</v>
      </c>
      <c r="M415" s="3"/>
      <c r="N415" s="3"/>
      <c r="O415" s="3"/>
      <c r="P415" s="3"/>
    </row>
    <row r="416" customFormat="false" ht="15.75" hidden="false" customHeight="true" outlineLevel="0" collapsed="false">
      <c r="A416" s="8" t="n">
        <v>45816</v>
      </c>
      <c r="B416" s="7" t="s">
        <v>184</v>
      </c>
      <c r="C416" s="7" t="s">
        <v>161</v>
      </c>
      <c r="D416" s="7" t="s">
        <v>39</v>
      </c>
      <c r="E416" s="7" t="s">
        <v>160</v>
      </c>
      <c r="F416" s="7" t="n">
        <v>17</v>
      </c>
      <c r="G416" s="7" t="n">
        <v>624</v>
      </c>
      <c r="H416" s="10" t="n">
        <v>0.0272435897435897</v>
      </c>
      <c r="I416" s="7" t="n">
        <v>9.03</v>
      </c>
      <c r="J416" s="7" t="s">
        <v>181</v>
      </c>
      <c r="K416" s="7" t="s">
        <v>182</v>
      </c>
      <c r="L416" s="7" t="s">
        <v>185</v>
      </c>
      <c r="M416" s="3"/>
      <c r="N416" s="3"/>
      <c r="O416" s="3"/>
      <c r="P416" s="3"/>
    </row>
    <row r="417" customFormat="false" ht="15.75" hidden="false" customHeight="true" outlineLevel="0" collapsed="false">
      <c r="A417" s="8" t="n">
        <v>45816</v>
      </c>
      <c r="B417" s="7" t="s">
        <v>186</v>
      </c>
      <c r="C417" s="7" t="s">
        <v>162</v>
      </c>
      <c r="D417" s="7" t="s">
        <v>39</v>
      </c>
      <c r="E417" s="7" t="s">
        <v>160</v>
      </c>
      <c r="F417" s="7" t="n">
        <v>5</v>
      </c>
      <c r="G417" s="7" t="n">
        <v>449</v>
      </c>
      <c r="H417" s="10" t="n">
        <v>0.0111358574610245</v>
      </c>
      <c r="I417" s="7" t="n">
        <v>13.54</v>
      </c>
      <c r="J417" s="7" t="s">
        <v>181</v>
      </c>
      <c r="K417" s="7" t="s">
        <v>187</v>
      </c>
      <c r="L417" s="7" t="s">
        <v>188</v>
      </c>
      <c r="M417" s="3"/>
      <c r="N417" s="3"/>
      <c r="O417" s="3"/>
      <c r="P417" s="3"/>
    </row>
    <row r="418" customFormat="false" ht="15.75" hidden="false" customHeight="true" outlineLevel="0" collapsed="false">
      <c r="A418" s="8" t="n">
        <v>45816</v>
      </c>
      <c r="B418" s="7" t="s">
        <v>189</v>
      </c>
      <c r="C418" s="7" t="s">
        <v>163</v>
      </c>
      <c r="D418" s="7" t="s">
        <v>39</v>
      </c>
      <c r="E418" s="7" t="s">
        <v>160</v>
      </c>
      <c r="F418" s="7" t="n">
        <v>5</v>
      </c>
      <c r="G418" s="7" t="n">
        <v>445</v>
      </c>
      <c r="H418" s="10" t="n">
        <v>0.0112359550561798</v>
      </c>
      <c r="I418" s="7" t="n">
        <v>13.57</v>
      </c>
      <c r="J418" s="7" t="s">
        <v>181</v>
      </c>
      <c r="K418" s="7" t="s">
        <v>187</v>
      </c>
      <c r="L418" s="7" t="s">
        <v>190</v>
      </c>
      <c r="M418" s="3"/>
      <c r="N418" s="3"/>
      <c r="O418" s="3"/>
      <c r="P418" s="3"/>
    </row>
    <row r="419" customFormat="false" ht="15.75" hidden="false" customHeight="true" outlineLevel="0" collapsed="false">
      <c r="A419" s="8" t="n">
        <v>45816</v>
      </c>
      <c r="B419" s="7" t="s">
        <v>191</v>
      </c>
      <c r="C419" s="7" t="s">
        <v>166</v>
      </c>
      <c r="D419" s="7" t="s">
        <v>39</v>
      </c>
      <c r="E419" s="7" t="s">
        <v>160</v>
      </c>
      <c r="F419" s="7" t="n">
        <v>18</v>
      </c>
      <c r="G419" s="7" t="n">
        <v>334</v>
      </c>
      <c r="H419" s="10" t="n">
        <v>0.0538922155688623</v>
      </c>
      <c r="I419" s="7" t="n">
        <v>4.37</v>
      </c>
      <c r="J419" s="7" t="s">
        <v>178</v>
      </c>
      <c r="K419" s="7" t="s">
        <v>192</v>
      </c>
      <c r="L419" s="7" t="s">
        <v>178</v>
      </c>
      <c r="M419" s="3"/>
      <c r="N419" s="3"/>
      <c r="O419" s="3"/>
      <c r="P419" s="3"/>
    </row>
    <row r="420" customFormat="false" ht="15.75" hidden="false" customHeight="true" outlineLevel="0" collapsed="false">
      <c r="A420" s="8" t="n">
        <v>45817</v>
      </c>
      <c r="B420" s="7" t="s">
        <v>177</v>
      </c>
      <c r="C420" s="7" t="s">
        <v>164</v>
      </c>
      <c r="D420" s="7" t="s">
        <v>39</v>
      </c>
      <c r="E420" s="7" t="s">
        <v>165</v>
      </c>
      <c r="F420" s="7" t="n">
        <v>25</v>
      </c>
      <c r="G420" s="7" t="n">
        <v>464</v>
      </c>
      <c r="H420" s="10" t="n">
        <v>0.0538793103448276</v>
      </c>
      <c r="I420" s="7" t="n">
        <v>3.97</v>
      </c>
      <c r="J420" s="7" t="s">
        <v>178</v>
      </c>
      <c r="K420" s="7" t="s">
        <v>179</v>
      </c>
      <c r="L420" s="7" t="s">
        <v>178</v>
      </c>
      <c r="M420" s="3"/>
      <c r="N420" s="3"/>
      <c r="O420" s="3"/>
      <c r="P420" s="3"/>
    </row>
    <row r="421" customFormat="false" ht="15.75" hidden="false" customHeight="true" outlineLevel="0" collapsed="false">
      <c r="A421" s="8" t="n">
        <v>45817</v>
      </c>
      <c r="B421" s="7" t="s">
        <v>180</v>
      </c>
      <c r="C421" s="7" t="s">
        <v>157</v>
      </c>
      <c r="D421" s="7" t="s">
        <v>39</v>
      </c>
      <c r="E421" s="7" t="s">
        <v>160</v>
      </c>
      <c r="F421" s="7" t="n">
        <v>18</v>
      </c>
      <c r="G421" s="7" t="n">
        <v>644</v>
      </c>
      <c r="H421" s="10" t="n">
        <v>0.0279503105590062</v>
      </c>
      <c r="I421" s="7" t="n">
        <v>8.89</v>
      </c>
      <c r="J421" s="7" t="s">
        <v>181</v>
      </c>
      <c r="K421" s="7" t="s">
        <v>182</v>
      </c>
      <c r="L421" s="7" t="s">
        <v>183</v>
      </c>
      <c r="M421" s="3"/>
      <c r="N421" s="3"/>
      <c r="O421" s="3"/>
      <c r="P421" s="3"/>
    </row>
    <row r="422" customFormat="false" ht="15.75" hidden="false" customHeight="true" outlineLevel="0" collapsed="false">
      <c r="A422" s="8" t="n">
        <v>45817</v>
      </c>
      <c r="B422" s="7" t="s">
        <v>184</v>
      </c>
      <c r="C422" s="7" t="s">
        <v>161</v>
      </c>
      <c r="D422" s="7" t="s">
        <v>39</v>
      </c>
      <c r="E422" s="7" t="s">
        <v>160</v>
      </c>
      <c r="F422" s="7" t="n">
        <v>19</v>
      </c>
      <c r="G422" s="7" t="n">
        <v>688</v>
      </c>
      <c r="H422" s="10" t="n">
        <v>0.0276162790697674</v>
      </c>
      <c r="I422" s="7" t="n">
        <v>9.02</v>
      </c>
      <c r="J422" s="7" t="s">
        <v>181</v>
      </c>
      <c r="K422" s="7" t="s">
        <v>182</v>
      </c>
      <c r="L422" s="7" t="s">
        <v>185</v>
      </c>
      <c r="M422" s="3"/>
      <c r="N422" s="3"/>
      <c r="O422" s="3"/>
      <c r="P422" s="3"/>
    </row>
    <row r="423" customFormat="false" ht="15.75" hidden="false" customHeight="true" outlineLevel="0" collapsed="false">
      <c r="A423" s="8" t="n">
        <v>45817</v>
      </c>
      <c r="B423" s="7" t="s">
        <v>186</v>
      </c>
      <c r="C423" s="7" t="s">
        <v>162</v>
      </c>
      <c r="D423" s="7" t="s">
        <v>39</v>
      </c>
      <c r="E423" s="7" t="s">
        <v>160</v>
      </c>
      <c r="F423" s="7" t="n">
        <v>6</v>
      </c>
      <c r="G423" s="7" t="n">
        <v>462</v>
      </c>
      <c r="H423" s="10" t="n">
        <v>0.012987012987013</v>
      </c>
      <c r="I423" s="7" t="n">
        <v>12.67</v>
      </c>
      <c r="J423" s="7" t="s">
        <v>181</v>
      </c>
      <c r="K423" s="7" t="s">
        <v>187</v>
      </c>
      <c r="L423" s="7" t="s">
        <v>188</v>
      </c>
      <c r="M423" s="3"/>
      <c r="N423" s="3"/>
      <c r="O423" s="3"/>
      <c r="P423" s="3"/>
    </row>
    <row r="424" customFormat="false" ht="15.75" hidden="false" customHeight="true" outlineLevel="0" collapsed="false">
      <c r="A424" s="8" t="n">
        <v>45817</v>
      </c>
      <c r="B424" s="7" t="s">
        <v>189</v>
      </c>
      <c r="C424" s="7" t="s">
        <v>163</v>
      </c>
      <c r="D424" s="7" t="s">
        <v>39</v>
      </c>
      <c r="E424" s="7" t="s">
        <v>160</v>
      </c>
      <c r="F424" s="7" t="n">
        <v>7</v>
      </c>
      <c r="G424" s="7" t="n">
        <v>553</v>
      </c>
      <c r="H424" s="10" t="n">
        <v>0.0126582278481013</v>
      </c>
      <c r="I424" s="7" t="n">
        <v>13.12</v>
      </c>
      <c r="J424" s="7" t="s">
        <v>181</v>
      </c>
      <c r="K424" s="7" t="s">
        <v>187</v>
      </c>
      <c r="L424" s="7" t="s">
        <v>190</v>
      </c>
      <c r="M424" s="3"/>
      <c r="N424" s="3"/>
      <c r="O424" s="3"/>
      <c r="P424" s="3"/>
    </row>
    <row r="425" customFormat="false" ht="15.75" hidden="false" customHeight="true" outlineLevel="0" collapsed="false">
      <c r="A425" s="8" t="n">
        <v>45817</v>
      </c>
      <c r="B425" s="7" t="s">
        <v>191</v>
      </c>
      <c r="C425" s="7" t="s">
        <v>166</v>
      </c>
      <c r="D425" s="7" t="s">
        <v>39</v>
      </c>
      <c r="E425" s="7" t="s">
        <v>160</v>
      </c>
      <c r="F425" s="7" t="n">
        <v>18</v>
      </c>
      <c r="G425" s="7" t="n">
        <v>341</v>
      </c>
      <c r="H425" s="10" t="n">
        <v>0.0527859237536657</v>
      </c>
      <c r="I425" s="7" t="n">
        <v>4.32</v>
      </c>
      <c r="J425" s="7" t="s">
        <v>178</v>
      </c>
      <c r="K425" s="7" t="s">
        <v>192</v>
      </c>
      <c r="L425" s="7" t="s">
        <v>178</v>
      </c>
      <c r="M425" s="3"/>
      <c r="N425" s="3"/>
      <c r="O425" s="3"/>
      <c r="P425" s="3"/>
    </row>
    <row r="426" customFormat="false" ht="15.75" hidden="false" customHeight="true" outlineLevel="0" collapsed="false">
      <c r="A426" s="8" t="n">
        <v>45818</v>
      </c>
      <c r="B426" s="7" t="s">
        <v>177</v>
      </c>
      <c r="C426" s="7" t="s">
        <v>164</v>
      </c>
      <c r="D426" s="7" t="s">
        <v>39</v>
      </c>
      <c r="E426" s="7" t="s">
        <v>160</v>
      </c>
      <c r="F426" s="7" t="n">
        <v>25</v>
      </c>
      <c r="G426" s="7" t="n">
        <v>459</v>
      </c>
      <c r="H426" s="10" t="n">
        <v>0.0544662309368192</v>
      </c>
      <c r="I426" s="7" t="n">
        <v>3.25</v>
      </c>
      <c r="J426" s="7" t="s">
        <v>178</v>
      </c>
      <c r="K426" s="7" t="s">
        <v>179</v>
      </c>
      <c r="L426" s="7" t="s">
        <v>178</v>
      </c>
      <c r="M426" s="3"/>
      <c r="N426" s="3"/>
      <c r="O426" s="3"/>
      <c r="P426" s="3"/>
    </row>
    <row r="427" customFormat="false" ht="15.75" hidden="false" customHeight="true" outlineLevel="0" collapsed="false">
      <c r="A427" s="8" t="n">
        <v>45818</v>
      </c>
      <c r="B427" s="7" t="s">
        <v>180</v>
      </c>
      <c r="C427" s="7" t="s">
        <v>157</v>
      </c>
      <c r="D427" s="7" t="s">
        <v>39</v>
      </c>
      <c r="E427" s="7" t="s">
        <v>160</v>
      </c>
      <c r="F427" s="7" t="n">
        <v>19</v>
      </c>
      <c r="G427" s="7" t="n">
        <v>690</v>
      </c>
      <c r="H427" s="10" t="n">
        <v>0.027536231884058</v>
      </c>
      <c r="I427" s="7" t="n">
        <v>9.12</v>
      </c>
      <c r="J427" s="7" t="s">
        <v>181</v>
      </c>
      <c r="K427" s="7" t="s">
        <v>182</v>
      </c>
      <c r="L427" s="7" t="s">
        <v>183</v>
      </c>
      <c r="M427" s="3"/>
      <c r="N427" s="3"/>
      <c r="O427" s="3"/>
      <c r="P427" s="3"/>
    </row>
    <row r="428" customFormat="false" ht="15.75" hidden="false" customHeight="true" outlineLevel="0" collapsed="false">
      <c r="A428" s="8" t="n">
        <v>45818</v>
      </c>
      <c r="B428" s="7" t="s">
        <v>184</v>
      </c>
      <c r="C428" s="7" t="s">
        <v>161</v>
      </c>
      <c r="D428" s="7" t="s">
        <v>39</v>
      </c>
      <c r="E428" s="7" t="s">
        <v>160</v>
      </c>
      <c r="F428" s="7" t="n">
        <v>20</v>
      </c>
      <c r="G428" s="7" t="n">
        <v>723</v>
      </c>
      <c r="H428" s="10" t="n">
        <v>0.0276625172890733</v>
      </c>
      <c r="I428" s="7" t="n">
        <v>8.53</v>
      </c>
      <c r="J428" s="7" t="s">
        <v>181</v>
      </c>
      <c r="K428" s="7" t="s">
        <v>182</v>
      </c>
      <c r="L428" s="7" t="s">
        <v>185</v>
      </c>
      <c r="M428" s="3"/>
      <c r="N428" s="3"/>
      <c r="O428" s="3"/>
      <c r="P428" s="3"/>
    </row>
    <row r="429" customFormat="false" ht="15.75" hidden="false" customHeight="true" outlineLevel="0" collapsed="false">
      <c r="A429" s="8" t="n">
        <v>45818</v>
      </c>
      <c r="B429" s="7" t="s">
        <v>186</v>
      </c>
      <c r="C429" s="7" t="s">
        <v>162</v>
      </c>
      <c r="D429" s="7" t="s">
        <v>39</v>
      </c>
      <c r="E429" s="7" t="s">
        <v>165</v>
      </c>
      <c r="F429" s="7" t="n">
        <v>5</v>
      </c>
      <c r="G429" s="7" t="n">
        <v>408</v>
      </c>
      <c r="H429" s="10" t="n">
        <v>0.0122549019607843</v>
      </c>
      <c r="I429" s="7" t="n">
        <v>12.71</v>
      </c>
      <c r="J429" s="7" t="s">
        <v>181</v>
      </c>
      <c r="K429" s="7" t="s">
        <v>187</v>
      </c>
      <c r="L429" s="7" t="s">
        <v>188</v>
      </c>
      <c r="M429" s="3"/>
      <c r="N429" s="3"/>
      <c r="O429" s="3"/>
      <c r="P429" s="3"/>
    </row>
    <row r="430" customFormat="false" ht="15.75" hidden="false" customHeight="true" outlineLevel="0" collapsed="false">
      <c r="A430" s="8" t="n">
        <v>45818</v>
      </c>
      <c r="B430" s="7" t="s">
        <v>189</v>
      </c>
      <c r="C430" s="7" t="s">
        <v>163</v>
      </c>
      <c r="D430" s="7" t="s">
        <v>39</v>
      </c>
      <c r="E430" s="7" t="s">
        <v>160</v>
      </c>
      <c r="F430" s="7" t="n">
        <v>5</v>
      </c>
      <c r="G430" s="7" t="n">
        <v>406</v>
      </c>
      <c r="H430" s="10" t="n">
        <v>0.0123152709359606</v>
      </c>
      <c r="I430" s="7" t="n">
        <v>12.78</v>
      </c>
      <c r="J430" s="7" t="s">
        <v>181</v>
      </c>
      <c r="K430" s="7" t="s">
        <v>187</v>
      </c>
      <c r="L430" s="7" t="s">
        <v>190</v>
      </c>
      <c r="M430" s="3"/>
      <c r="N430" s="3"/>
      <c r="O430" s="3"/>
      <c r="P430" s="3"/>
    </row>
    <row r="431" customFormat="false" ht="15.75" hidden="false" customHeight="true" outlineLevel="0" collapsed="false">
      <c r="A431" s="8" t="n">
        <v>45818</v>
      </c>
      <c r="B431" s="7" t="s">
        <v>191</v>
      </c>
      <c r="C431" s="7" t="s">
        <v>166</v>
      </c>
      <c r="D431" s="7" t="s">
        <v>39</v>
      </c>
      <c r="E431" s="7" t="s">
        <v>160</v>
      </c>
      <c r="F431" s="7" t="n">
        <v>19</v>
      </c>
      <c r="G431" s="7" t="n">
        <v>361</v>
      </c>
      <c r="H431" s="10" t="n">
        <v>0.0526315789473684</v>
      </c>
      <c r="I431" s="7" t="n">
        <v>4.18</v>
      </c>
      <c r="J431" s="7" t="s">
        <v>178</v>
      </c>
      <c r="K431" s="7" t="s">
        <v>192</v>
      </c>
      <c r="L431" s="7" t="s">
        <v>178</v>
      </c>
      <c r="M431" s="3"/>
      <c r="N431" s="3"/>
      <c r="O431" s="3"/>
      <c r="P431" s="3"/>
    </row>
    <row r="432" customFormat="false" ht="15.75" hidden="false" customHeight="true" outlineLevel="0" collapsed="false">
      <c r="A432" s="8" t="n">
        <v>45819</v>
      </c>
      <c r="B432" s="7" t="s">
        <v>177</v>
      </c>
      <c r="C432" s="7" t="s">
        <v>164</v>
      </c>
      <c r="D432" s="7" t="s">
        <v>39</v>
      </c>
      <c r="E432" s="7" t="s">
        <v>160</v>
      </c>
      <c r="F432" s="7" t="n">
        <v>18</v>
      </c>
      <c r="G432" s="7" t="n">
        <v>345</v>
      </c>
      <c r="H432" s="10" t="n">
        <v>0.0521739130434783</v>
      </c>
      <c r="I432" s="7" t="n">
        <v>4.07</v>
      </c>
      <c r="J432" s="7" t="s">
        <v>178</v>
      </c>
      <c r="K432" s="7" t="s">
        <v>179</v>
      </c>
      <c r="L432" s="7" t="s">
        <v>178</v>
      </c>
      <c r="M432" s="3"/>
      <c r="N432" s="3"/>
      <c r="O432" s="3"/>
      <c r="P432" s="3"/>
    </row>
    <row r="433" customFormat="false" ht="15.75" hidden="false" customHeight="true" outlineLevel="0" collapsed="false">
      <c r="A433" s="8" t="n">
        <v>45819</v>
      </c>
      <c r="B433" s="7" t="s">
        <v>180</v>
      </c>
      <c r="C433" s="7" t="s">
        <v>157</v>
      </c>
      <c r="D433" s="7" t="s">
        <v>39</v>
      </c>
      <c r="E433" s="7" t="s">
        <v>160</v>
      </c>
      <c r="F433" s="7" t="n">
        <v>16</v>
      </c>
      <c r="G433" s="7" t="n">
        <v>576</v>
      </c>
      <c r="H433" s="10" t="n">
        <v>0.0277777777777778</v>
      </c>
      <c r="I433" s="7" t="n">
        <v>8.69</v>
      </c>
      <c r="J433" s="7" t="s">
        <v>181</v>
      </c>
      <c r="K433" s="7" t="s">
        <v>182</v>
      </c>
      <c r="L433" s="7" t="s">
        <v>183</v>
      </c>
      <c r="M433" s="3"/>
      <c r="N433" s="3"/>
      <c r="O433" s="3"/>
      <c r="P433" s="3"/>
    </row>
    <row r="434" customFormat="false" ht="15.75" hidden="false" customHeight="true" outlineLevel="0" collapsed="false">
      <c r="A434" s="8" t="n">
        <v>45819</v>
      </c>
      <c r="B434" s="7" t="s">
        <v>184</v>
      </c>
      <c r="C434" s="7" t="s">
        <v>161</v>
      </c>
      <c r="D434" s="7" t="s">
        <v>39</v>
      </c>
      <c r="E434" s="7" t="s">
        <v>160</v>
      </c>
      <c r="F434" s="7" t="n">
        <v>17</v>
      </c>
      <c r="G434" s="7" t="n">
        <v>633</v>
      </c>
      <c r="H434" s="10" t="n">
        <v>0.0268562401263823</v>
      </c>
      <c r="I434" s="7" t="n">
        <v>8.43</v>
      </c>
      <c r="J434" s="7" t="s">
        <v>181</v>
      </c>
      <c r="K434" s="7" t="s">
        <v>182</v>
      </c>
      <c r="L434" s="7" t="s">
        <v>185</v>
      </c>
      <c r="M434" s="3"/>
      <c r="N434" s="3"/>
      <c r="O434" s="3"/>
      <c r="P434" s="3"/>
    </row>
    <row r="435" customFormat="false" ht="15.75" hidden="false" customHeight="true" outlineLevel="0" collapsed="false">
      <c r="A435" s="8" t="n">
        <v>45819</v>
      </c>
      <c r="B435" s="7" t="s">
        <v>186</v>
      </c>
      <c r="C435" s="7" t="s">
        <v>162</v>
      </c>
      <c r="D435" s="7" t="s">
        <v>39</v>
      </c>
      <c r="E435" s="7" t="s">
        <v>160</v>
      </c>
      <c r="F435" s="7" t="n">
        <v>5</v>
      </c>
      <c r="G435" s="7" t="n">
        <v>405</v>
      </c>
      <c r="H435" s="10" t="n">
        <v>0.0123456790123457</v>
      </c>
      <c r="I435" s="7" t="n">
        <v>12.94</v>
      </c>
      <c r="J435" s="7" t="s">
        <v>181</v>
      </c>
      <c r="K435" s="7" t="s">
        <v>187</v>
      </c>
      <c r="L435" s="7" t="s">
        <v>188</v>
      </c>
      <c r="M435" s="3"/>
      <c r="N435" s="3"/>
      <c r="O435" s="3"/>
      <c r="P435" s="3"/>
    </row>
    <row r="436" customFormat="false" ht="15.75" hidden="false" customHeight="true" outlineLevel="0" collapsed="false">
      <c r="A436" s="8" t="n">
        <v>45819</v>
      </c>
      <c r="B436" s="7" t="s">
        <v>189</v>
      </c>
      <c r="C436" s="7" t="s">
        <v>163</v>
      </c>
      <c r="D436" s="7" t="s">
        <v>39</v>
      </c>
      <c r="E436" s="7" t="s">
        <v>160</v>
      </c>
      <c r="F436" s="7" t="n">
        <v>5</v>
      </c>
      <c r="G436" s="7" t="n">
        <v>435</v>
      </c>
      <c r="H436" s="10" t="n">
        <v>0.0114942528735632</v>
      </c>
      <c r="I436" s="7" t="n">
        <v>12.72</v>
      </c>
      <c r="J436" s="7" t="s">
        <v>181</v>
      </c>
      <c r="K436" s="7" t="s">
        <v>187</v>
      </c>
      <c r="L436" s="7" t="s">
        <v>190</v>
      </c>
      <c r="M436" s="3"/>
      <c r="N436" s="3"/>
      <c r="O436" s="3"/>
      <c r="P436" s="3"/>
    </row>
    <row r="437" customFormat="false" ht="15.75" hidden="false" customHeight="true" outlineLevel="0" collapsed="false">
      <c r="A437" s="8" t="n">
        <v>45819</v>
      </c>
      <c r="B437" s="7" t="s">
        <v>191</v>
      </c>
      <c r="C437" s="7" t="s">
        <v>166</v>
      </c>
      <c r="D437" s="7" t="s">
        <v>39</v>
      </c>
      <c r="E437" s="7" t="s">
        <v>165</v>
      </c>
      <c r="F437" s="7" t="n">
        <v>21</v>
      </c>
      <c r="G437" s="7" t="n">
        <v>391</v>
      </c>
      <c r="H437" s="10" t="n">
        <v>0.0537084398976982</v>
      </c>
      <c r="I437" s="7" t="n">
        <v>3.84</v>
      </c>
      <c r="J437" s="7" t="s">
        <v>178</v>
      </c>
      <c r="K437" s="7" t="s">
        <v>192</v>
      </c>
      <c r="L437" s="7" t="s">
        <v>178</v>
      </c>
      <c r="M437" s="3"/>
      <c r="N437" s="3"/>
      <c r="O437" s="3"/>
      <c r="P437" s="3"/>
    </row>
    <row r="438" customFormat="false" ht="15.75" hidden="false" customHeight="true" outlineLevel="0" collapsed="false">
      <c r="A438" s="8" t="n">
        <v>45820</v>
      </c>
      <c r="B438" s="7" t="s">
        <v>177</v>
      </c>
      <c r="C438" s="7" t="s">
        <v>164</v>
      </c>
      <c r="D438" s="7" t="s">
        <v>39</v>
      </c>
      <c r="E438" s="7" t="s">
        <v>160</v>
      </c>
      <c r="F438" s="7" t="n">
        <v>17</v>
      </c>
      <c r="G438" s="7" t="n">
        <v>313</v>
      </c>
      <c r="H438" s="10" t="n">
        <v>0.0543130990415335</v>
      </c>
      <c r="I438" s="7" t="n">
        <v>3.83</v>
      </c>
      <c r="J438" s="7" t="s">
        <v>178</v>
      </c>
      <c r="K438" s="7" t="s">
        <v>179</v>
      </c>
      <c r="L438" s="7" t="s">
        <v>178</v>
      </c>
      <c r="M438" s="3"/>
      <c r="N438" s="3"/>
      <c r="O438" s="3"/>
      <c r="P438" s="3"/>
    </row>
    <row r="439" customFormat="false" ht="15.75" hidden="false" customHeight="true" outlineLevel="0" collapsed="false">
      <c r="A439" s="8" t="n">
        <v>45820</v>
      </c>
      <c r="B439" s="7" t="s">
        <v>180</v>
      </c>
      <c r="C439" s="7" t="s">
        <v>157</v>
      </c>
      <c r="D439" s="7" t="s">
        <v>39</v>
      </c>
      <c r="E439" s="7" t="s">
        <v>160</v>
      </c>
      <c r="F439" s="7" t="n">
        <v>17</v>
      </c>
      <c r="G439" s="7" t="n">
        <v>609</v>
      </c>
      <c r="H439" s="10" t="n">
        <v>0.0279146141215107</v>
      </c>
      <c r="I439" s="7" t="n">
        <v>8.47</v>
      </c>
      <c r="J439" s="7" t="s">
        <v>181</v>
      </c>
      <c r="K439" s="7" t="s">
        <v>182</v>
      </c>
      <c r="L439" s="7" t="s">
        <v>183</v>
      </c>
      <c r="M439" s="3"/>
      <c r="N439" s="3"/>
      <c r="O439" s="3"/>
      <c r="P439" s="3"/>
    </row>
    <row r="440" customFormat="false" ht="15.75" hidden="false" customHeight="true" outlineLevel="0" collapsed="false">
      <c r="A440" s="8" t="n">
        <v>45820</v>
      </c>
      <c r="B440" s="7" t="s">
        <v>184</v>
      </c>
      <c r="C440" s="7" t="s">
        <v>161</v>
      </c>
      <c r="D440" s="7" t="s">
        <v>39</v>
      </c>
      <c r="E440" s="7" t="s">
        <v>160</v>
      </c>
      <c r="F440" s="7" t="n">
        <v>17</v>
      </c>
      <c r="G440" s="7" t="n">
        <v>614</v>
      </c>
      <c r="H440" s="10" t="n">
        <v>0.0276872964169381</v>
      </c>
      <c r="I440" s="7" t="n">
        <v>8.3</v>
      </c>
      <c r="J440" s="7" t="s">
        <v>181</v>
      </c>
      <c r="K440" s="7" t="s">
        <v>182</v>
      </c>
      <c r="L440" s="7" t="s">
        <v>185</v>
      </c>
      <c r="M440" s="3"/>
      <c r="N440" s="3"/>
      <c r="O440" s="3"/>
      <c r="P440" s="3"/>
    </row>
    <row r="441" customFormat="false" ht="15.75" hidden="false" customHeight="true" outlineLevel="0" collapsed="false">
      <c r="A441" s="8" t="n">
        <v>45820</v>
      </c>
      <c r="B441" s="7" t="s">
        <v>186</v>
      </c>
      <c r="C441" s="7" t="s">
        <v>162</v>
      </c>
      <c r="D441" s="7" t="s">
        <v>39</v>
      </c>
      <c r="E441" s="7" t="s">
        <v>160</v>
      </c>
      <c r="F441" s="7" t="n">
        <v>5</v>
      </c>
      <c r="G441" s="7" t="n">
        <v>416</v>
      </c>
      <c r="H441" s="10" t="n">
        <v>0.0120192307692308</v>
      </c>
      <c r="I441" s="7" t="n">
        <v>12.84</v>
      </c>
      <c r="J441" s="7" t="s">
        <v>181</v>
      </c>
      <c r="K441" s="7" t="s">
        <v>187</v>
      </c>
      <c r="L441" s="7" t="s">
        <v>188</v>
      </c>
      <c r="M441" s="3"/>
      <c r="N441" s="3"/>
      <c r="O441" s="3"/>
      <c r="P441" s="3"/>
    </row>
    <row r="442" customFormat="false" ht="15.75" hidden="false" customHeight="true" outlineLevel="0" collapsed="false">
      <c r="A442" s="8" t="n">
        <v>45820</v>
      </c>
      <c r="B442" s="7" t="s">
        <v>189</v>
      </c>
      <c r="C442" s="7" t="s">
        <v>163</v>
      </c>
      <c r="D442" s="7" t="s">
        <v>39</v>
      </c>
      <c r="E442" s="7" t="s">
        <v>160</v>
      </c>
      <c r="F442" s="7" t="n">
        <v>6</v>
      </c>
      <c r="G442" s="7" t="n">
        <v>494</v>
      </c>
      <c r="H442" s="10" t="n">
        <v>0.0121457489878543</v>
      </c>
      <c r="I442" s="7" t="n">
        <v>13.17</v>
      </c>
      <c r="J442" s="7" t="s">
        <v>181</v>
      </c>
      <c r="K442" s="7" t="s">
        <v>187</v>
      </c>
      <c r="L442" s="7" t="s">
        <v>190</v>
      </c>
      <c r="M442" s="3"/>
      <c r="N442" s="3"/>
      <c r="O442" s="3"/>
      <c r="P442" s="3"/>
    </row>
    <row r="443" customFormat="false" ht="15.75" hidden="false" customHeight="true" outlineLevel="0" collapsed="false">
      <c r="A443" s="8" t="n">
        <v>45820</v>
      </c>
      <c r="B443" s="7" t="s">
        <v>191</v>
      </c>
      <c r="C443" s="7" t="s">
        <v>166</v>
      </c>
      <c r="D443" s="7" t="s">
        <v>39</v>
      </c>
      <c r="E443" s="7" t="s">
        <v>160</v>
      </c>
      <c r="F443" s="7" t="n">
        <v>23</v>
      </c>
      <c r="G443" s="7" t="n">
        <v>434</v>
      </c>
      <c r="H443" s="10" t="n">
        <v>0.0529953917050691</v>
      </c>
      <c r="I443" s="7" t="n">
        <v>3.13</v>
      </c>
      <c r="J443" s="7" t="s">
        <v>178</v>
      </c>
      <c r="K443" s="7" t="s">
        <v>192</v>
      </c>
      <c r="L443" s="7" t="s">
        <v>178</v>
      </c>
      <c r="M443" s="3"/>
      <c r="N443" s="3"/>
      <c r="O443" s="3"/>
      <c r="P443" s="3"/>
    </row>
    <row r="444" customFormat="false" ht="15.75" hidden="false" customHeight="true" outlineLevel="0" collapsed="false">
      <c r="A444" s="8" t="n">
        <v>45821</v>
      </c>
      <c r="B444" s="7" t="s">
        <v>177</v>
      </c>
      <c r="C444" s="7" t="s">
        <v>164</v>
      </c>
      <c r="D444" s="7" t="s">
        <v>39</v>
      </c>
      <c r="E444" s="7" t="s">
        <v>160</v>
      </c>
      <c r="F444" s="7" t="n">
        <v>21</v>
      </c>
      <c r="G444" s="7" t="n">
        <v>382</v>
      </c>
      <c r="H444" s="10" t="n">
        <v>0.0549738219895288</v>
      </c>
      <c r="I444" s="7" t="n">
        <v>3.06</v>
      </c>
      <c r="J444" s="7" t="s">
        <v>178</v>
      </c>
      <c r="K444" s="7" t="s">
        <v>179</v>
      </c>
      <c r="L444" s="7" t="s">
        <v>178</v>
      </c>
      <c r="M444" s="3"/>
      <c r="N444" s="3"/>
      <c r="O444" s="3"/>
      <c r="P444" s="3"/>
    </row>
    <row r="445" customFormat="false" ht="15.75" hidden="false" customHeight="true" outlineLevel="0" collapsed="false">
      <c r="A445" s="8" t="n">
        <v>45821</v>
      </c>
      <c r="B445" s="7" t="s">
        <v>180</v>
      </c>
      <c r="C445" s="7" t="s">
        <v>157</v>
      </c>
      <c r="D445" s="7" t="s">
        <v>39</v>
      </c>
      <c r="E445" s="7" t="s">
        <v>165</v>
      </c>
      <c r="F445" s="7" t="n">
        <v>17</v>
      </c>
      <c r="G445" s="7" t="n">
        <v>612</v>
      </c>
      <c r="H445" s="10" t="n">
        <v>0.0277777777777778</v>
      </c>
      <c r="I445" s="7" t="n">
        <v>9.33</v>
      </c>
      <c r="J445" s="7" t="s">
        <v>181</v>
      </c>
      <c r="K445" s="7" t="s">
        <v>182</v>
      </c>
      <c r="L445" s="7" t="s">
        <v>183</v>
      </c>
      <c r="M445" s="3"/>
      <c r="N445" s="3"/>
      <c r="O445" s="3"/>
      <c r="P445" s="3"/>
    </row>
    <row r="446" customFormat="false" ht="15.75" hidden="false" customHeight="true" outlineLevel="0" collapsed="false">
      <c r="A446" s="8" t="n">
        <v>45821</v>
      </c>
      <c r="B446" s="7" t="s">
        <v>184</v>
      </c>
      <c r="C446" s="7" t="s">
        <v>161</v>
      </c>
      <c r="D446" s="7" t="s">
        <v>39</v>
      </c>
      <c r="E446" s="7" t="s">
        <v>160</v>
      </c>
      <c r="F446" s="7" t="n">
        <v>18</v>
      </c>
      <c r="G446" s="7" t="n">
        <v>671</v>
      </c>
      <c r="H446" s="10" t="n">
        <v>0.0268256333830104</v>
      </c>
      <c r="I446" s="7" t="n">
        <v>9.44</v>
      </c>
      <c r="J446" s="7" t="s">
        <v>181</v>
      </c>
      <c r="K446" s="7" t="s">
        <v>182</v>
      </c>
      <c r="L446" s="7" t="s">
        <v>185</v>
      </c>
      <c r="M446" s="3"/>
      <c r="N446" s="3"/>
      <c r="O446" s="3"/>
      <c r="P446" s="3"/>
    </row>
    <row r="447" customFormat="false" ht="15.75" hidden="false" customHeight="true" outlineLevel="0" collapsed="false">
      <c r="A447" s="8" t="n">
        <v>45821</v>
      </c>
      <c r="B447" s="7" t="s">
        <v>186</v>
      </c>
      <c r="C447" s="7" t="s">
        <v>162</v>
      </c>
      <c r="D447" s="7" t="s">
        <v>39</v>
      </c>
      <c r="E447" s="7" t="s">
        <v>160</v>
      </c>
      <c r="F447" s="7" t="n">
        <v>6</v>
      </c>
      <c r="G447" s="7" t="n">
        <v>498</v>
      </c>
      <c r="H447" s="10" t="n">
        <v>0.0120481927710843</v>
      </c>
      <c r="I447" s="7" t="n">
        <v>13.01</v>
      </c>
      <c r="J447" s="7" t="s">
        <v>181</v>
      </c>
      <c r="K447" s="7" t="s">
        <v>187</v>
      </c>
      <c r="L447" s="7" t="s">
        <v>188</v>
      </c>
      <c r="M447" s="3"/>
      <c r="N447" s="3"/>
      <c r="O447" s="3"/>
      <c r="P447" s="3"/>
    </row>
    <row r="448" customFormat="false" ht="15.75" hidden="false" customHeight="true" outlineLevel="0" collapsed="false">
      <c r="A448" s="8" t="n">
        <v>45821</v>
      </c>
      <c r="B448" s="7" t="s">
        <v>189</v>
      </c>
      <c r="C448" s="7" t="s">
        <v>163</v>
      </c>
      <c r="D448" s="7" t="s">
        <v>39</v>
      </c>
      <c r="E448" s="7" t="s">
        <v>165</v>
      </c>
      <c r="F448" s="7" t="n">
        <v>5</v>
      </c>
      <c r="G448" s="7" t="n">
        <v>431</v>
      </c>
      <c r="H448" s="10" t="n">
        <v>0.0116009280742459</v>
      </c>
      <c r="I448" s="7" t="n">
        <v>12.82</v>
      </c>
      <c r="J448" s="7" t="s">
        <v>181</v>
      </c>
      <c r="K448" s="7" t="s">
        <v>187</v>
      </c>
      <c r="L448" s="7" t="s">
        <v>190</v>
      </c>
      <c r="M448" s="3"/>
      <c r="N448" s="3"/>
      <c r="O448" s="3"/>
      <c r="P448" s="3"/>
    </row>
    <row r="449" customFormat="false" ht="15.75" hidden="false" customHeight="true" outlineLevel="0" collapsed="false">
      <c r="A449" s="8" t="n">
        <v>45821</v>
      </c>
      <c r="B449" s="7" t="s">
        <v>191</v>
      </c>
      <c r="C449" s="7" t="s">
        <v>166</v>
      </c>
      <c r="D449" s="7" t="s">
        <v>39</v>
      </c>
      <c r="E449" s="7" t="s">
        <v>160</v>
      </c>
      <c r="F449" s="7" t="n">
        <v>21</v>
      </c>
      <c r="G449" s="7" t="n">
        <v>399</v>
      </c>
      <c r="H449" s="10" t="n">
        <v>0.0526315789473684</v>
      </c>
      <c r="I449" s="7" t="n">
        <v>4.29</v>
      </c>
      <c r="J449" s="7" t="s">
        <v>178</v>
      </c>
      <c r="K449" s="7" t="s">
        <v>192</v>
      </c>
      <c r="L449" s="7" t="s">
        <v>178</v>
      </c>
      <c r="M449" s="3"/>
      <c r="N449" s="3"/>
      <c r="O449" s="3"/>
      <c r="P449" s="3"/>
    </row>
    <row r="450" customFormat="false" ht="15.75" hidden="false" customHeight="true" outlineLevel="0" collapsed="false">
      <c r="A450" s="8" t="n">
        <v>45822</v>
      </c>
      <c r="B450" s="7" t="s">
        <v>177</v>
      </c>
      <c r="C450" s="7" t="s">
        <v>164</v>
      </c>
      <c r="D450" s="7" t="s">
        <v>39</v>
      </c>
      <c r="E450" s="7" t="s">
        <v>160</v>
      </c>
      <c r="F450" s="7" t="n">
        <v>17</v>
      </c>
      <c r="G450" s="7" t="n">
        <v>314</v>
      </c>
      <c r="H450" s="10" t="n">
        <v>0.054140127388535</v>
      </c>
      <c r="I450" s="7" t="n">
        <v>3.37</v>
      </c>
      <c r="J450" s="7" t="s">
        <v>178</v>
      </c>
      <c r="K450" s="7" t="s">
        <v>179</v>
      </c>
      <c r="L450" s="7" t="s">
        <v>178</v>
      </c>
      <c r="M450" s="3"/>
      <c r="N450" s="3"/>
      <c r="O450" s="3"/>
      <c r="P450" s="3"/>
    </row>
    <row r="451" customFormat="false" ht="15.75" hidden="false" customHeight="true" outlineLevel="0" collapsed="false">
      <c r="A451" s="8" t="n">
        <v>45822</v>
      </c>
      <c r="B451" s="7" t="s">
        <v>180</v>
      </c>
      <c r="C451" s="7" t="s">
        <v>157</v>
      </c>
      <c r="D451" s="7" t="s">
        <v>39</v>
      </c>
      <c r="E451" s="7" t="s">
        <v>165</v>
      </c>
      <c r="F451" s="7" t="n">
        <v>17</v>
      </c>
      <c r="G451" s="7" t="n">
        <v>625</v>
      </c>
      <c r="H451" s="10" t="n">
        <v>0.0272</v>
      </c>
      <c r="I451" s="7" t="n">
        <v>9.25</v>
      </c>
      <c r="J451" s="7" t="s">
        <v>181</v>
      </c>
      <c r="K451" s="7" t="s">
        <v>182</v>
      </c>
      <c r="L451" s="7" t="s">
        <v>183</v>
      </c>
      <c r="M451" s="3"/>
      <c r="N451" s="3"/>
      <c r="O451" s="3"/>
      <c r="P451" s="3"/>
    </row>
    <row r="452" customFormat="false" ht="15.75" hidden="false" customHeight="true" outlineLevel="0" collapsed="false">
      <c r="A452" s="8" t="n">
        <v>45822</v>
      </c>
      <c r="B452" s="7" t="s">
        <v>184</v>
      </c>
      <c r="C452" s="7" t="s">
        <v>161</v>
      </c>
      <c r="D452" s="7" t="s">
        <v>39</v>
      </c>
      <c r="E452" s="7" t="s">
        <v>165</v>
      </c>
      <c r="F452" s="7" t="n">
        <v>17</v>
      </c>
      <c r="G452" s="7" t="n">
        <v>610</v>
      </c>
      <c r="H452" s="10" t="n">
        <v>0.0278688524590164</v>
      </c>
      <c r="I452" s="7" t="n">
        <v>9.08</v>
      </c>
      <c r="J452" s="7" t="s">
        <v>181</v>
      </c>
      <c r="K452" s="7" t="s">
        <v>182</v>
      </c>
      <c r="L452" s="7" t="s">
        <v>185</v>
      </c>
      <c r="M452" s="3"/>
      <c r="N452" s="3"/>
      <c r="O452" s="3"/>
      <c r="P452" s="3"/>
    </row>
    <row r="453" customFormat="false" ht="15.75" hidden="false" customHeight="true" outlineLevel="0" collapsed="false">
      <c r="A453" s="8" t="n">
        <v>45822</v>
      </c>
      <c r="B453" s="7" t="s">
        <v>186</v>
      </c>
      <c r="C453" s="7" t="s">
        <v>162</v>
      </c>
      <c r="D453" s="7" t="s">
        <v>39</v>
      </c>
      <c r="E453" s="7" t="s">
        <v>160</v>
      </c>
      <c r="F453" s="7" t="n">
        <v>6</v>
      </c>
      <c r="G453" s="7" t="n">
        <v>485</v>
      </c>
      <c r="H453" s="10" t="n">
        <v>0.0123711340206186</v>
      </c>
      <c r="I453" s="7" t="n">
        <v>13.67</v>
      </c>
      <c r="J453" s="7" t="s">
        <v>181</v>
      </c>
      <c r="K453" s="7" t="s">
        <v>187</v>
      </c>
      <c r="L453" s="7" t="s">
        <v>188</v>
      </c>
      <c r="M453" s="3"/>
      <c r="N453" s="3"/>
      <c r="O453" s="3"/>
      <c r="P453" s="3"/>
    </row>
    <row r="454" customFormat="false" ht="15.75" hidden="false" customHeight="true" outlineLevel="0" collapsed="false">
      <c r="A454" s="8" t="n">
        <v>45822</v>
      </c>
      <c r="B454" s="7" t="s">
        <v>189</v>
      </c>
      <c r="C454" s="7" t="s">
        <v>163</v>
      </c>
      <c r="D454" s="7" t="s">
        <v>39</v>
      </c>
      <c r="E454" s="7" t="s">
        <v>165</v>
      </c>
      <c r="F454" s="7" t="n">
        <v>5</v>
      </c>
      <c r="G454" s="7" t="n">
        <v>428</v>
      </c>
      <c r="H454" s="10" t="n">
        <v>0.0116822429906542</v>
      </c>
      <c r="I454" s="7" t="n">
        <v>13.64</v>
      </c>
      <c r="J454" s="7" t="s">
        <v>181</v>
      </c>
      <c r="K454" s="7" t="s">
        <v>187</v>
      </c>
      <c r="L454" s="7" t="s">
        <v>190</v>
      </c>
      <c r="M454" s="3"/>
      <c r="N454" s="3"/>
      <c r="O454" s="3"/>
      <c r="P454" s="3"/>
    </row>
    <row r="455" customFormat="false" ht="15.75" hidden="false" customHeight="true" outlineLevel="0" collapsed="false">
      <c r="A455" s="8" t="n">
        <v>45822</v>
      </c>
      <c r="B455" s="7" t="s">
        <v>191</v>
      </c>
      <c r="C455" s="7" t="s">
        <v>166</v>
      </c>
      <c r="D455" s="7" t="s">
        <v>39</v>
      </c>
      <c r="E455" s="7" t="s">
        <v>160</v>
      </c>
      <c r="F455" s="7" t="n">
        <v>21</v>
      </c>
      <c r="G455" s="7" t="n">
        <v>396</v>
      </c>
      <c r="H455" s="10" t="n">
        <v>0.053030303030303</v>
      </c>
      <c r="I455" s="7" t="n">
        <v>3.83</v>
      </c>
      <c r="J455" s="7" t="s">
        <v>178</v>
      </c>
      <c r="K455" s="7" t="s">
        <v>192</v>
      </c>
      <c r="L455" s="7" t="s">
        <v>178</v>
      </c>
      <c r="M455" s="3"/>
      <c r="N455" s="3"/>
      <c r="O455" s="3"/>
      <c r="P455" s="3"/>
    </row>
    <row r="456" customFormat="false" ht="15.75" hidden="false" customHeight="true" outlineLevel="0" collapsed="false">
      <c r="A456" s="8" t="n">
        <v>45823</v>
      </c>
      <c r="B456" s="7" t="s">
        <v>177</v>
      </c>
      <c r="C456" s="7" t="s">
        <v>164</v>
      </c>
      <c r="D456" s="7" t="s">
        <v>39</v>
      </c>
      <c r="E456" s="7" t="s">
        <v>160</v>
      </c>
      <c r="F456" s="7" t="n">
        <v>24</v>
      </c>
      <c r="G456" s="7" t="n">
        <v>451</v>
      </c>
      <c r="H456" s="10" t="n">
        <v>0.0532150776053215</v>
      </c>
      <c r="I456" s="7" t="n">
        <v>4.26</v>
      </c>
      <c r="J456" s="7" t="s">
        <v>178</v>
      </c>
      <c r="K456" s="7" t="s">
        <v>179</v>
      </c>
      <c r="L456" s="7" t="s">
        <v>178</v>
      </c>
      <c r="M456" s="3"/>
      <c r="N456" s="3"/>
      <c r="O456" s="3"/>
      <c r="P456" s="3"/>
    </row>
    <row r="457" customFormat="false" ht="15.75" hidden="false" customHeight="true" outlineLevel="0" collapsed="false">
      <c r="A457" s="8" t="n">
        <v>45823</v>
      </c>
      <c r="B457" s="7" t="s">
        <v>180</v>
      </c>
      <c r="C457" s="7" t="s">
        <v>157</v>
      </c>
      <c r="D457" s="7" t="s">
        <v>39</v>
      </c>
      <c r="E457" s="7" t="s">
        <v>165</v>
      </c>
      <c r="F457" s="7" t="n">
        <v>17</v>
      </c>
      <c r="G457" s="7" t="n">
        <v>634</v>
      </c>
      <c r="H457" s="10" t="n">
        <v>0.026813880126183</v>
      </c>
      <c r="I457" s="7" t="n">
        <v>9.6</v>
      </c>
      <c r="J457" s="7" t="s">
        <v>181</v>
      </c>
      <c r="K457" s="7" t="s">
        <v>182</v>
      </c>
      <c r="L457" s="7" t="s">
        <v>183</v>
      </c>
      <c r="M457" s="3"/>
      <c r="N457" s="3"/>
      <c r="O457" s="3"/>
      <c r="P457" s="3"/>
    </row>
    <row r="458" customFormat="false" ht="15.75" hidden="false" customHeight="true" outlineLevel="0" collapsed="false">
      <c r="A458" s="8" t="n">
        <v>45823</v>
      </c>
      <c r="B458" s="7" t="s">
        <v>184</v>
      </c>
      <c r="C458" s="7" t="s">
        <v>161</v>
      </c>
      <c r="D458" s="7" t="s">
        <v>39</v>
      </c>
      <c r="E458" s="7" t="s">
        <v>160</v>
      </c>
      <c r="F458" s="7" t="n">
        <v>17</v>
      </c>
      <c r="G458" s="7" t="n">
        <v>632</v>
      </c>
      <c r="H458" s="10" t="n">
        <v>0.0268987341772152</v>
      </c>
      <c r="I458" s="7" t="n">
        <v>9.54</v>
      </c>
      <c r="J458" s="7" t="s">
        <v>181</v>
      </c>
      <c r="K458" s="7" t="s">
        <v>182</v>
      </c>
      <c r="L458" s="7" t="s">
        <v>185</v>
      </c>
      <c r="M458" s="3"/>
      <c r="N458" s="3"/>
      <c r="O458" s="3"/>
      <c r="P458" s="3"/>
    </row>
    <row r="459" customFormat="false" ht="15.75" hidden="false" customHeight="true" outlineLevel="0" collapsed="false">
      <c r="A459" s="8" t="n">
        <v>45823</v>
      </c>
      <c r="B459" s="7" t="s">
        <v>186</v>
      </c>
      <c r="C459" s="7" t="s">
        <v>162</v>
      </c>
      <c r="D459" s="7" t="s">
        <v>39</v>
      </c>
      <c r="E459" s="7" t="s">
        <v>160</v>
      </c>
      <c r="F459" s="7" t="n">
        <v>6</v>
      </c>
      <c r="G459" s="7" t="n">
        <v>501</v>
      </c>
      <c r="H459" s="10" t="n">
        <v>0.0119760479041916</v>
      </c>
      <c r="I459" s="7" t="n">
        <v>13.3</v>
      </c>
      <c r="J459" s="7" t="s">
        <v>181</v>
      </c>
      <c r="K459" s="7" t="s">
        <v>187</v>
      </c>
      <c r="L459" s="7" t="s">
        <v>188</v>
      </c>
      <c r="M459" s="3"/>
      <c r="N459" s="3"/>
      <c r="O459" s="3"/>
      <c r="P459" s="3"/>
    </row>
    <row r="460" customFormat="false" ht="15.75" hidden="false" customHeight="true" outlineLevel="0" collapsed="false">
      <c r="A460" s="8" t="n">
        <v>45823</v>
      </c>
      <c r="B460" s="7" t="s">
        <v>189</v>
      </c>
      <c r="C460" s="7" t="s">
        <v>163</v>
      </c>
      <c r="D460" s="7" t="s">
        <v>39</v>
      </c>
      <c r="E460" s="7" t="s">
        <v>160</v>
      </c>
      <c r="F460" s="7" t="n">
        <v>5</v>
      </c>
      <c r="G460" s="7" t="n">
        <v>413</v>
      </c>
      <c r="H460" s="10" t="n">
        <v>0.0121065375302663</v>
      </c>
      <c r="I460" s="7" t="n">
        <v>13.21</v>
      </c>
      <c r="J460" s="7" t="s">
        <v>181</v>
      </c>
      <c r="K460" s="7" t="s">
        <v>187</v>
      </c>
      <c r="L460" s="7" t="s">
        <v>190</v>
      </c>
      <c r="M460" s="3"/>
      <c r="N460" s="3"/>
      <c r="O460" s="3"/>
      <c r="P460" s="3"/>
    </row>
    <row r="461" customFormat="false" ht="15.75" hidden="false" customHeight="true" outlineLevel="0" collapsed="false">
      <c r="A461" s="8" t="n">
        <v>45823</v>
      </c>
      <c r="B461" s="7" t="s">
        <v>191</v>
      </c>
      <c r="C461" s="7" t="s">
        <v>166</v>
      </c>
      <c r="D461" s="7" t="s">
        <v>39</v>
      </c>
      <c r="E461" s="7" t="s">
        <v>160</v>
      </c>
      <c r="F461" s="7" t="n">
        <v>19</v>
      </c>
      <c r="G461" s="7" t="n">
        <v>357</v>
      </c>
      <c r="H461" s="10" t="n">
        <v>0.0532212885154062</v>
      </c>
      <c r="I461" s="7" t="n">
        <v>3.45</v>
      </c>
      <c r="J461" s="7" t="s">
        <v>178</v>
      </c>
      <c r="K461" s="7" t="s">
        <v>192</v>
      </c>
      <c r="L461" s="7" t="s">
        <v>178</v>
      </c>
      <c r="M461" s="3"/>
      <c r="N461" s="3"/>
      <c r="O461" s="3"/>
      <c r="P461" s="3"/>
    </row>
    <row r="462" customFormat="false" ht="15.75" hidden="false" customHeight="true" outlineLevel="0" collapsed="false">
      <c r="A462" s="8" t="n">
        <v>45824</v>
      </c>
      <c r="B462" s="7" t="s">
        <v>177</v>
      </c>
      <c r="C462" s="7" t="s">
        <v>164</v>
      </c>
      <c r="D462" s="7" t="s">
        <v>39</v>
      </c>
      <c r="E462" s="7" t="s">
        <v>160</v>
      </c>
      <c r="F462" s="7" t="n">
        <v>19</v>
      </c>
      <c r="G462" s="7" t="n">
        <v>353</v>
      </c>
      <c r="H462" s="10" t="n">
        <v>0.0538243626062323</v>
      </c>
      <c r="I462" s="7" t="n">
        <v>3.38</v>
      </c>
      <c r="J462" s="7" t="s">
        <v>178</v>
      </c>
      <c r="K462" s="7" t="s">
        <v>179</v>
      </c>
      <c r="L462" s="7" t="s">
        <v>178</v>
      </c>
      <c r="M462" s="3"/>
      <c r="N462" s="3"/>
      <c r="O462" s="3"/>
      <c r="P462" s="3"/>
    </row>
    <row r="463" customFormat="false" ht="15.75" hidden="false" customHeight="true" outlineLevel="0" collapsed="false">
      <c r="A463" s="8" t="n">
        <v>45824</v>
      </c>
      <c r="B463" s="7" t="s">
        <v>180</v>
      </c>
      <c r="C463" s="7" t="s">
        <v>157</v>
      </c>
      <c r="D463" s="7" t="s">
        <v>39</v>
      </c>
      <c r="E463" s="7" t="s">
        <v>160</v>
      </c>
      <c r="F463" s="7" t="n">
        <v>15</v>
      </c>
      <c r="G463" s="7" t="n">
        <v>570</v>
      </c>
      <c r="H463" s="10" t="n">
        <v>0.0263157894736842</v>
      </c>
      <c r="I463" s="7" t="n">
        <v>8.57</v>
      </c>
      <c r="J463" s="7" t="s">
        <v>181</v>
      </c>
      <c r="K463" s="7" t="s">
        <v>182</v>
      </c>
      <c r="L463" s="7" t="s">
        <v>183</v>
      </c>
      <c r="M463" s="3"/>
      <c r="N463" s="3"/>
      <c r="O463" s="3"/>
      <c r="P463" s="3"/>
    </row>
    <row r="464" customFormat="false" ht="15.75" hidden="false" customHeight="true" outlineLevel="0" collapsed="false">
      <c r="A464" s="8" t="n">
        <v>45824</v>
      </c>
      <c r="B464" s="7" t="s">
        <v>184</v>
      </c>
      <c r="C464" s="7" t="s">
        <v>161</v>
      </c>
      <c r="D464" s="7" t="s">
        <v>39</v>
      </c>
      <c r="E464" s="7" t="s">
        <v>165</v>
      </c>
      <c r="F464" s="7" t="n">
        <v>20</v>
      </c>
      <c r="G464" s="7" t="n">
        <v>718</v>
      </c>
      <c r="H464" s="10" t="n">
        <v>0.0278551532033426</v>
      </c>
      <c r="I464" s="7" t="n">
        <v>8.47</v>
      </c>
      <c r="J464" s="7" t="s">
        <v>181</v>
      </c>
      <c r="K464" s="7" t="s">
        <v>182</v>
      </c>
      <c r="L464" s="7" t="s">
        <v>185</v>
      </c>
      <c r="M464" s="3"/>
      <c r="N464" s="3"/>
      <c r="O464" s="3"/>
      <c r="P464" s="3"/>
    </row>
    <row r="465" customFormat="false" ht="15.75" hidden="false" customHeight="true" outlineLevel="0" collapsed="false">
      <c r="A465" s="8" t="n">
        <v>45824</v>
      </c>
      <c r="B465" s="7" t="s">
        <v>186</v>
      </c>
      <c r="C465" s="7" t="s">
        <v>162</v>
      </c>
      <c r="D465" s="7" t="s">
        <v>39</v>
      </c>
      <c r="E465" s="7" t="s">
        <v>160</v>
      </c>
      <c r="F465" s="7" t="n">
        <v>5</v>
      </c>
      <c r="G465" s="7" t="n">
        <v>448</v>
      </c>
      <c r="H465" s="10" t="n">
        <v>0.0111607142857143</v>
      </c>
      <c r="I465" s="7" t="n">
        <v>13.13</v>
      </c>
      <c r="J465" s="7" t="s">
        <v>181</v>
      </c>
      <c r="K465" s="7" t="s">
        <v>187</v>
      </c>
      <c r="L465" s="7" t="s">
        <v>188</v>
      </c>
      <c r="M465" s="3"/>
      <c r="N465" s="3"/>
      <c r="O465" s="3"/>
      <c r="P465" s="3"/>
    </row>
    <row r="466" customFormat="false" ht="15.75" hidden="false" customHeight="true" outlineLevel="0" collapsed="false">
      <c r="A466" s="8" t="n">
        <v>45824</v>
      </c>
      <c r="B466" s="7" t="s">
        <v>189</v>
      </c>
      <c r="C466" s="7" t="s">
        <v>163</v>
      </c>
      <c r="D466" s="7" t="s">
        <v>39</v>
      </c>
      <c r="E466" s="7" t="s">
        <v>160</v>
      </c>
      <c r="F466" s="7" t="n">
        <v>5</v>
      </c>
      <c r="G466" s="7" t="n">
        <v>398</v>
      </c>
      <c r="H466" s="10" t="n">
        <v>0.0125628140703518</v>
      </c>
      <c r="I466" s="7" t="n">
        <v>12.76</v>
      </c>
      <c r="J466" s="7" t="s">
        <v>181</v>
      </c>
      <c r="K466" s="7" t="s">
        <v>187</v>
      </c>
      <c r="L466" s="7" t="s">
        <v>190</v>
      </c>
      <c r="M466" s="3"/>
      <c r="N466" s="3"/>
      <c r="O466" s="3"/>
      <c r="P466" s="3"/>
    </row>
    <row r="467" customFormat="false" ht="15.75" hidden="false" customHeight="true" outlineLevel="0" collapsed="false">
      <c r="A467" s="8" t="n">
        <v>45824</v>
      </c>
      <c r="B467" s="7" t="s">
        <v>191</v>
      </c>
      <c r="C467" s="7" t="s">
        <v>166</v>
      </c>
      <c r="D467" s="7" t="s">
        <v>39</v>
      </c>
      <c r="E467" s="7" t="s">
        <v>160</v>
      </c>
      <c r="F467" s="7" t="n">
        <v>25</v>
      </c>
      <c r="G467" s="7" t="n">
        <v>464</v>
      </c>
      <c r="H467" s="10" t="n">
        <v>0.0538793103448276</v>
      </c>
      <c r="I467" s="7" t="n">
        <v>3.46</v>
      </c>
      <c r="J467" s="7" t="s">
        <v>178</v>
      </c>
      <c r="K467" s="7" t="s">
        <v>192</v>
      </c>
      <c r="L467" s="7" t="s">
        <v>178</v>
      </c>
      <c r="M467" s="3"/>
      <c r="N467" s="3"/>
      <c r="O467" s="3"/>
      <c r="P467" s="3"/>
    </row>
    <row r="468" customFormat="false" ht="15.75" hidden="false" customHeight="true" outlineLevel="0" collapsed="false">
      <c r="A468" s="8" t="n">
        <v>45825</v>
      </c>
      <c r="B468" s="7" t="s">
        <v>177</v>
      </c>
      <c r="C468" s="7" t="s">
        <v>164</v>
      </c>
      <c r="D468" s="7" t="s">
        <v>39</v>
      </c>
      <c r="E468" s="7" t="s">
        <v>160</v>
      </c>
      <c r="F468" s="7" t="n">
        <v>23</v>
      </c>
      <c r="G468" s="7" t="n">
        <v>433</v>
      </c>
      <c r="H468" s="10" t="n">
        <v>0.0531177829099307</v>
      </c>
      <c r="I468" s="7" t="n">
        <v>3.89</v>
      </c>
      <c r="J468" s="7" t="s">
        <v>178</v>
      </c>
      <c r="K468" s="7" t="s">
        <v>179</v>
      </c>
      <c r="L468" s="7" t="s">
        <v>178</v>
      </c>
      <c r="M468" s="3"/>
      <c r="N468" s="3"/>
      <c r="O468" s="3"/>
      <c r="P468" s="3"/>
    </row>
    <row r="469" customFormat="false" ht="15.75" hidden="false" customHeight="true" outlineLevel="0" collapsed="false">
      <c r="A469" s="8" t="n">
        <v>45825</v>
      </c>
      <c r="B469" s="7" t="s">
        <v>180</v>
      </c>
      <c r="C469" s="7" t="s">
        <v>157</v>
      </c>
      <c r="D469" s="7" t="s">
        <v>39</v>
      </c>
      <c r="E469" s="7" t="s">
        <v>160</v>
      </c>
      <c r="F469" s="7" t="n">
        <v>17</v>
      </c>
      <c r="G469" s="7" t="n">
        <v>622</v>
      </c>
      <c r="H469" s="10" t="n">
        <v>0.0273311897106109</v>
      </c>
      <c r="I469" s="7" t="n">
        <v>9.32</v>
      </c>
      <c r="J469" s="7" t="s">
        <v>181</v>
      </c>
      <c r="K469" s="7" t="s">
        <v>182</v>
      </c>
      <c r="L469" s="7" t="s">
        <v>183</v>
      </c>
      <c r="M469" s="3"/>
      <c r="N469" s="3"/>
      <c r="O469" s="3"/>
      <c r="P469" s="3"/>
    </row>
    <row r="470" customFormat="false" ht="15.75" hidden="false" customHeight="true" outlineLevel="0" collapsed="false">
      <c r="A470" s="8" t="n">
        <v>45825</v>
      </c>
      <c r="B470" s="7" t="s">
        <v>184</v>
      </c>
      <c r="C470" s="7" t="s">
        <v>161</v>
      </c>
      <c r="D470" s="7" t="s">
        <v>39</v>
      </c>
      <c r="E470" s="7" t="s">
        <v>165</v>
      </c>
      <c r="F470" s="7" t="n">
        <v>19</v>
      </c>
      <c r="G470" s="7" t="n">
        <v>681</v>
      </c>
      <c r="H470" s="10" t="n">
        <v>0.0279001468428781</v>
      </c>
      <c r="I470" s="7" t="n">
        <v>9.4</v>
      </c>
      <c r="J470" s="7" t="s">
        <v>181</v>
      </c>
      <c r="K470" s="7" t="s">
        <v>182</v>
      </c>
      <c r="L470" s="7" t="s">
        <v>185</v>
      </c>
      <c r="M470" s="3"/>
      <c r="N470" s="3"/>
      <c r="O470" s="3"/>
      <c r="P470" s="3"/>
    </row>
    <row r="471" customFormat="false" ht="15.75" hidden="false" customHeight="true" outlineLevel="0" collapsed="false">
      <c r="A471" s="8" t="n">
        <v>45825</v>
      </c>
      <c r="B471" s="7" t="s">
        <v>186</v>
      </c>
      <c r="C471" s="7" t="s">
        <v>162</v>
      </c>
      <c r="D471" s="7" t="s">
        <v>39</v>
      </c>
      <c r="E471" s="7" t="s">
        <v>160</v>
      </c>
      <c r="F471" s="7" t="n">
        <v>6</v>
      </c>
      <c r="G471" s="7" t="n">
        <v>505</v>
      </c>
      <c r="H471" s="10" t="n">
        <v>0.0118811881188119</v>
      </c>
      <c r="I471" s="7" t="n">
        <v>12.98</v>
      </c>
      <c r="J471" s="7" t="s">
        <v>181</v>
      </c>
      <c r="K471" s="7" t="s">
        <v>187</v>
      </c>
      <c r="L471" s="7" t="s">
        <v>188</v>
      </c>
      <c r="M471" s="3"/>
      <c r="N471" s="3"/>
      <c r="O471" s="3"/>
      <c r="P471" s="3"/>
    </row>
    <row r="472" customFormat="false" ht="15.75" hidden="false" customHeight="true" outlineLevel="0" collapsed="false">
      <c r="A472" s="8" t="n">
        <v>45825</v>
      </c>
      <c r="B472" s="7" t="s">
        <v>189</v>
      </c>
      <c r="C472" s="7" t="s">
        <v>163</v>
      </c>
      <c r="D472" s="7" t="s">
        <v>39</v>
      </c>
      <c r="E472" s="7" t="s">
        <v>165</v>
      </c>
      <c r="F472" s="7" t="n">
        <v>5</v>
      </c>
      <c r="G472" s="7" t="n">
        <v>459</v>
      </c>
      <c r="H472" s="10" t="n">
        <v>0.0108932461873638</v>
      </c>
      <c r="I472" s="7" t="n">
        <v>13.04</v>
      </c>
      <c r="J472" s="7" t="s">
        <v>181</v>
      </c>
      <c r="K472" s="7" t="s">
        <v>187</v>
      </c>
      <c r="L472" s="7" t="s">
        <v>190</v>
      </c>
      <c r="M472" s="3"/>
      <c r="N472" s="3"/>
      <c r="O472" s="3"/>
      <c r="P472" s="3"/>
    </row>
    <row r="473" customFormat="false" ht="15.75" hidden="false" customHeight="true" outlineLevel="0" collapsed="false">
      <c r="A473" s="8" t="n">
        <v>45825</v>
      </c>
      <c r="B473" s="7" t="s">
        <v>191</v>
      </c>
      <c r="C473" s="7" t="s">
        <v>166</v>
      </c>
      <c r="D473" s="7" t="s">
        <v>39</v>
      </c>
      <c r="E473" s="7" t="s">
        <v>160</v>
      </c>
      <c r="F473" s="7" t="n">
        <v>23</v>
      </c>
      <c r="G473" s="7" t="n">
        <v>422</v>
      </c>
      <c r="H473" s="10" t="n">
        <v>0.0545023696682465</v>
      </c>
      <c r="I473" s="7" t="n">
        <v>3.75</v>
      </c>
      <c r="J473" s="7" t="s">
        <v>178</v>
      </c>
      <c r="K473" s="7" t="s">
        <v>192</v>
      </c>
      <c r="L473" s="7" t="s">
        <v>178</v>
      </c>
      <c r="M473" s="3"/>
      <c r="N473" s="3"/>
      <c r="O473" s="3"/>
      <c r="P473" s="3"/>
    </row>
    <row r="474" customFormat="false" ht="15.75" hidden="false" customHeight="true" outlineLevel="0" collapsed="false">
      <c r="A474" s="8" t="n">
        <v>45826</v>
      </c>
      <c r="B474" s="7" t="s">
        <v>177</v>
      </c>
      <c r="C474" s="7" t="s">
        <v>164</v>
      </c>
      <c r="D474" s="7" t="s">
        <v>39</v>
      </c>
      <c r="E474" s="7" t="s">
        <v>160</v>
      </c>
      <c r="F474" s="7" t="n">
        <v>19</v>
      </c>
      <c r="G474" s="7" t="n">
        <v>355</v>
      </c>
      <c r="H474" s="10" t="n">
        <v>0.0535211267605634</v>
      </c>
      <c r="I474" s="7" t="n">
        <v>3.18</v>
      </c>
      <c r="J474" s="7" t="s">
        <v>178</v>
      </c>
      <c r="K474" s="7" t="s">
        <v>179</v>
      </c>
      <c r="L474" s="7" t="s">
        <v>178</v>
      </c>
      <c r="M474" s="3"/>
      <c r="N474" s="3"/>
      <c r="O474" s="3"/>
      <c r="P474" s="3"/>
    </row>
    <row r="475" customFormat="false" ht="15.75" hidden="false" customHeight="true" outlineLevel="0" collapsed="false">
      <c r="A475" s="8" t="n">
        <v>45826</v>
      </c>
      <c r="B475" s="7" t="s">
        <v>180</v>
      </c>
      <c r="C475" s="7" t="s">
        <v>157</v>
      </c>
      <c r="D475" s="7" t="s">
        <v>39</v>
      </c>
      <c r="E475" s="7" t="s">
        <v>165</v>
      </c>
      <c r="F475" s="7" t="n">
        <v>16</v>
      </c>
      <c r="G475" s="7" t="n">
        <v>572</v>
      </c>
      <c r="H475" s="10" t="n">
        <v>0.027972027972028</v>
      </c>
      <c r="I475" s="7" t="n">
        <v>8.79</v>
      </c>
      <c r="J475" s="7" t="s">
        <v>181</v>
      </c>
      <c r="K475" s="7" t="s">
        <v>182</v>
      </c>
      <c r="L475" s="7" t="s">
        <v>183</v>
      </c>
      <c r="M475" s="3"/>
      <c r="N475" s="3"/>
      <c r="O475" s="3"/>
      <c r="P475" s="3"/>
    </row>
    <row r="476" customFormat="false" ht="15.75" hidden="false" customHeight="true" outlineLevel="0" collapsed="false">
      <c r="A476" s="8" t="n">
        <v>45826</v>
      </c>
      <c r="B476" s="7" t="s">
        <v>184</v>
      </c>
      <c r="C476" s="7" t="s">
        <v>161</v>
      </c>
      <c r="D476" s="7" t="s">
        <v>39</v>
      </c>
      <c r="E476" s="7" t="s">
        <v>160</v>
      </c>
      <c r="F476" s="7" t="n">
        <v>19</v>
      </c>
      <c r="G476" s="7" t="n">
        <v>702</v>
      </c>
      <c r="H476" s="10" t="n">
        <v>0.0270655270655271</v>
      </c>
      <c r="I476" s="7" t="n">
        <v>9.22</v>
      </c>
      <c r="J476" s="7" t="s">
        <v>181</v>
      </c>
      <c r="K476" s="7" t="s">
        <v>182</v>
      </c>
      <c r="L476" s="7" t="s">
        <v>185</v>
      </c>
      <c r="M476" s="3"/>
      <c r="N476" s="3"/>
      <c r="O476" s="3"/>
      <c r="P476" s="3"/>
    </row>
    <row r="477" customFormat="false" ht="15.75" hidden="false" customHeight="true" outlineLevel="0" collapsed="false">
      <c r="A477" s="8" t="n">
        <v>45826</v>
      </c>
      <c r="B477" s="7" t="s">
        <v>186</v>
      </c>
      <c r="C477" s="7" t="s">
        <v>162</v>
      </c>
      <c r="D477" s="7" t="s">
        <v>39</v>
      </c>
      <c r="E477" s="7" t="s">
        <v>160</v>
      </c>
      <c r="F477" s="7" t="n">
        <v>6</v>
      </c>
      <c r="G477" s="7" t="n">
        <v>489</v>
      </c>
      <c r="H477" s="10" t="n">
        <v>0.0122699386503068</v>
      </c>
      <c r="I477" s="7" t="n">
        <v>13.96</v>
      </c>
      <c r="J477" s="7" t="s">
        <v>181</v>
      </c>
      <c r="K477" s="7" t="s">
        <v>187</v>
      </c>
      <c r="L477" s="7" t="s">
        <v>188</v>
      </c>
      <c r="M477" s="3"/>
      <c r="N477" s="3"/>
      <c r="O477" s="3"/>
      <c r="P477" s="3"/>
    </row>
    <row r="478" customFormat="false" ht="15.75" hidden="false" customHeight="true" outlineLevel="0" collapsed="false">
      <c r="A478" s="8" t="n">
        <v>45826</v>
      </c>
      <c r="B478" s="7" t="s">
        <v>189</v>
      </c>
      <c r="C478" s="7" t="s">
        <v>163</v>
      </c>
      <c r="D478" s="7" t="s">
        <v>39</v>
      </c>
      <c r="E478" s="7" t="s">
        <v>160</v>
      </c>
      <c r="F478" s="7" t="n">
        <v>5</v>
      </c>
      <c r="G478" s="7" t="n">
        <v>423</v>
      </c>
      <c r="H478" s="10" t="n">
        <v>0.0118203309692671</v>
      </c>
      <c r="I478" s="7" t="n">
        <v>13.91</v>
      </c>
      <c r="J478" s="7" t="s">
        <v>181</v>
      </c>
      <c r="K478" s="7" t="s">
        <v>187</v>
      </c>
      <c r="L478" s="7" t="s">
        <v>190</v>
      </c>
      <c r="M478" s="3"/>
      <c r="N478" s="3"/>
      <c r="O478" s="3"/>
      <c r="P478" s="3"/>
    </row>
    <row r="479" customFormat="false" ht="15.75" hidden="false" customHeight="true" outlineLevel="0" collapsed="false">
      <c r="A479" s="8" t="n">
        <v>45826</v>
      </c>
      <c r="B479" s="7" t="s">
        <v>191</v>
      </c>
      <c r="C479" s="7" t="s">
        <v>166</v>
      </c>
      <c r="D479" s="7" t="s">
        <v>39</v>
      </c>
      <c r="E479" s="7" t="s">
        <v>160</v>
      </c>
      <c r="F479" s="7" t="n">
        <v>20</v>
      </c>
      <c r="G479" s="7" t="n">
        <v>369</v>
      </c>
      <c r="H479" s="10" t="n">
        <v>0.0542005420054201</v>
      </c>
      <c r="I479" s="7" t="n">
        <v>3.96</v>
      </c>
      <c r="J479" s="7" t="s">
        <v>178</v>
      </c>
      <c r="K479" s="7" t="s">
        <v>192</v>
      </c>
      <c r="L479" s="7" t="s">
        <v>178</v>
      </c>
      <c r="M479" s="3"/>
      <c r="N479" s="3"/>
      <c r="O479" s="3"/>
      <c r="P479" s="3"/>
    </row>
    <row r="480" customFormat="false" ht="15.75" hidden="false" customHeight="true" outlineLevel="0" collapsed="false">
      <c r="A480" s="8" t="n">
        <v>45827</v>
      </c>
      <c r="B480" s="7" t="s">
        <v>177</v>
      </c>
      <c r="C480" s="7" t="s">
        <v>164</v>
      </c>
      <c r="D480" s="7" t="s">
        <v>39</v>
      </c>
      <c r="E480" s="7" t="s">
        <v>160</v>
      </c>
      <c r="F480" s="7" t="n">
        <v>21</v>
      </c>
      <c r="G480" s="7" t="n">
        <v>399</v>
      </c>
      <c r="H480" s="10" t="n">
        <v>0.0526315789473684</v>
      </c>
      <c r="I480" s="7" t="n">
        <v>4.32</v>
      </c>
      <c r="J480" s="7" t="s">
        <v>178</v>
      </c>
      <c r="K480" s="7" t="s">
        <v>179</v>
      </c>
      <c r="L480" s="7" t="s">
        <v>178</v>
      </c>
      <c r="M480" s="3"/>
      <c r="N480" s="3"/>
      <c r="O480" s="3"/>
      <c r="P480" s="3"/>
    </row>
    <row r="481" customFormat="false" ht="15.75" hidden="false" customHeight="true" outlineLevel="0" collapsed="false">
      <c r="A481" s="8" t="n">
        <v>45827</v>
      </c>
      <c r="B481" s="7" t="s">
        <v>180</v>
      </c>
      <c r="C481" s="7" t="s">
        <v>157</v>
      </c>
      <c r="D481" s="7" t="s">
        <v>39</v>
      </c>
      <c r="E481" s="7" t="s">
        <v>160</v>
      </c>
      <c r="F481" s="7" t="n">
        <v>15</v>
      </c>
      <c r="G481" s="7" t="n">
        <v>569</v>
      </c>
      <c r="H481" s="10" t="n">
        <v>0.0263620386643234</v>
      </c>
      <c r="I481" s="7" t="n">
        <v>8.87</v>
      </c>
      <c r="J481" s="7" t="s">
        <v>181</v>
      </c>
      <c r="K481" s="7" t="s">
        <v>182</v>
      </c>
      <c r="L481" s="7" t="s">
        <v>183</v>
      </c>
      <c r="M481" s="3"/>
      <c r="N481" s="3"/>
      <c r="O481" s="3"/>
      <c r="P481" s="3"/>
    </row>
    <row r="482" customFormat="false" ht="15.75" hidden="false" customHeight="true" outlineLevel="0" collapsed="false">
      <c r="A482" s="8" t="n">
        <v>45827</v>
      </c>
      <c r="B482" s="7" t="s">
        <v>184</v>
      </c>
      <c r="C482" s="7" t="s">
        <v>161</v>
      </c>
      <c r="D482" s="7" t="s">
        <v>39</v>
      </c>
      <c r="E482" s="7" t="s">
        <v>160</v>
      </c>
      <c r="F482" s="7" t="n">
        <v>19</v>
      </c>
      <c r="G482" s="7" t="n">
        <v>713</v>
      </c>
      <c r="H482" s="10" t="n">
        <v>0.0266479663394109</v>
      </c>
      <c r="I482" s="7" t="n">
        <v>8.43</v>
      </c>
      <c r="J482" s="7" t="s">
        <v>181</v>
      </c>
      <c r="K482" s="7" t="s">
        <v>182</v>
      </c>
      <c r="L482" s="7" t="s">
        <v>185</v>
      </c>
      <c r="M482" s="3"/>
      <c r="N482" s="3"/>
      <c r="O482" s="3"/>
      <c r="P482" s="3"/>
    </row>
    <row r="483" customFormat="false" ht="15.75" hidden="false" customHeight="true" outlineLevel="0" collapsed="false">
      <c r="A483" s="8" t="n">
        <v>45827</v>
      </c>
      <c r="B483" s="7" t="s">
        <v>186</v>
      </c>
      <c r="C483" s="7" t="s">
        <v>162</v>
      </c>
      <c r="D483" s="7" t="s">
        <v>39</v>
      </c>
      <c r="E483" s="7" t="s">
        <v>160</v>
      </c>
      <c r="F483" s="7" t="n">
        <v>6</v>
      </c>
      <c r="G483" s="7" t="n">
        <v>534</v>
      </c>
      <c r="H483" s="10" t="n">
        <v>0.0112359550561798</v>
      </c>
      <c r="I483" s="7" t="n">
        <v>13.09</v>
      </c>
      <c r="J483" s="7" t="s">
        <v>181</v>
      </c>
      <c r="K483" s="7" t="s">
        <v>187</v>
      </c>
      <c r="L483" s="7" t="s">
        <v>188</v>
      </c>
      <c r="M483" s="3"/>
      <c r="N483" s="3"/>
      <c r="O483" s="3"/>
      <c r="P483" s="3"/>
    </row>
    <row r="484" customFormat="false" ht="15.75" hidden="false" customHeight="true" outlineLevel="0" collapsed="false">
      <c r="A484" s="8" t="n">
        <v>45827</v>
      </c>
      <c r="B484" s="7" t="s">
        <v>189</v>
      </c>
      <c r="C484" s="7" t="s">
        <v>163</v>
      </c>
      <c r="D484" s="7" t="s">
        <v>39</v>
      </c>
      <c r="E484" s="7" t="s">
        <v>160</v>
      </c>
      <c r="F484" s="7" t="n">
        <v>6</v>
      </c>
      <c r="G484" s="7" t="n">
        <v>486</v>
      </c>
      <c r="H484" s="10" t="n">
        <v>0.0123456790123457</v>
      </c>
      <c r="I484" s="7" t="n">
        <v>13.89</v>
      </c>
      <c r="J484" s="7" t="s">
        <v>181</v>
      </c>
      <c r="K484" s="7" t="s">
        <v>187</v>
      </c>
      <c r="L484" s="7" t="s">
        <v>190</v>
      </c>
      <c r="M484" s="3"/>
      <c r="N484" s="3"/>
      <c r="O484" s="3"/>
      <c r="P484" s="3"/>
    </row>
    <row r="485" customFormat="false" ht="15.75" hidden="false" customHeight="true" outlineLevel="0" collapsed="false">
      <c r="A485" s="8" t="n">
        <v>45827</v>
      </c>
      <c r="B485" s="7" t="s">
        <v>191</v>
      </c>
      <c r="C485" s="7" t="s">
        <v>166</v>
      </c>
      <c r="D485" s="7" t="s">
        <v>39</v>
      </c>
      <c r="E485" s="7" t="s">
        <v>160</v>
      </c>
      <c r="F485" s="7" t="n">
        <v>21</v>
      </c>
      <c r="G485" s="7" t="n">
        <v>399</v>
      </c>
      <c r="H485" s="10" t="n">
        <v>0.0526315789473684</v>
      </c>
      <c r="I485" s="7" t="n">
        <v>4.24</v>
      </c>
      <c r="J485" s="7" t="s">
        <v>178</v>
      </c>
      <c r="K485" s="7" t="s">
        <v>192</v>
      </c>
      <c r="L485" s="7" t="s">
        <v>178</v>
      </c>
      <c r="M485" s="3"/>
      <c r="N485" s="3"/>
      <c r="O485" s="3"/>
      <c r="P485" s="3"/>
    </row>
    <row r="486" customFormat="false" ht="15.75" hidden="false" customHeight="true" outlineLevel="0" collapsed="false">
      <c r="A486" s="8" t="n">
        <v>45828</v>
      </c>
      <c r="B486" s="7" t="s">
        <v>177</v>
      </c>
      <c r="C486" s="7" t="s">
        <v>164</v>
      </c>
      <c r="D486" s="7" t="s">
        <v>39</v>
      </c>
      <c r="E486" s="7" t="s">
        <v>160</v>
      </c>
      <c r="F486" s="7" t="n">
        <v>24</v>
      </c>
      <c r="G486" s="7" t="n">
        <v>453</v>
      </c>
      <c r="H486" s="10" t="n">
        <v>0.0529801324503311</v>
      </c>
      <c r="I486" s="7" t="n">
        <v>3.34</v>
      </c>
      <c r="J486" s="7" t="s">
        <v>178</v>
      </c>
      <c r="K486" s="7" t="s">
        <v>179</v>
      </c>
      <c r="L486" s="7" t="s">
        <v>178</v>
      </c>
      <c r="M486" s="3"/>
      <c r="N486" s="3"/>
      <c r="O486" s="3"/>
      <c r="P486" s="3"/>
    </row>
    <row r="487" customFormat="false" ht="15.75" hidden="false" customHeight="true" outlineLevel="0" collapsed="false">
      <c r="A487" s="8" t="n">
        <v>45828</v>
      </c>
      <c r="B487" s="7" t="s">
        <v>180</v>
      </c>
      <c r="C487" s="7" t="s">
        <v>157</v>
      </c>
      <c r="D487" s="7" t="s">
        <v>39</v>
      </c>
      <c r="E487" s="7" t="s">
        <v>160</v>
      </c>
      <c r="F487" s="7" t="n">
        <v>19</v>
      </c>
      <c r="G487" s="7" t="n">
        <v>701</v>
      </c>
      <c r="H487" s="10" t="n">
        <v>0.0271041369472183</v>
      </c>
      <c r="I487" s="7" t="n">
        <v>9.56</v>
      </c>
      <c r="J487" s="7" t="s">
        <v>181</v>
      </c>
      <c r="K487" s="7" t="s">
        <v>182</v>
      </c>
      <c r="L487" s="7" t="s">
        <v>183</v>
      </c>
      <c r="M487" s="3"/>
      <c r="N487" s="3"/>
      <c r="O487" s="3"/>
      <c r="P487" s="3"/>
    </row>
    <row r="488" customFormat="false" ht="15.75" hidden="false" customHeight="true" outlineLevel="0" collapsed="false">
      <c r="A488" s="8" t="n">
        <v>45828</v>
      </c>
      <c r="B488" s="7" t="s">
        <v>184</v>
      </c>
      <c r="C488" s="7" t="s">
        <v>161</v>
      </c>
      <c r="D488" s="7" t="s">
        <v>39</v>
      </c>
      <c r="E488" s="7" t="s">
        <v>160</v>
      </c>
      <c r="F488" s="7" t="n">
        <v>17</v>
      </c>
      <c r="G488" s="7" t="n">
        <v>636</v>
      </c>
      <c r="H488" s="10" t="n">
        <v>0.0267295597484277</v>
      </c>
      <c r="I488" s="7" t="n">
        <v>9.09</v>
      </c>
      <c r="J488" s="7" t="s">
        <v>181</v>
      </c>
      <c r="K488" s="7" t="s">
        <v>182</v>
      </c>
      <c r="L488" s="7" t="s">
        <v>185</v>
      </c>
      <c r="M488" s="3"/>
      <c r="N488" s="3"/>
      <c r="O488" s="3"/>
      <c r="P488" s="3"/>
    </row>
    <row r="489" customFormat="false" ht="15.75" hidden="false" customHeight="true" outlineLevel="0" collapsed="false">
      <c r="A489" s="8" t="n">
        <v>45828</v>
      </c>
      <c r="B489" s="7" t="s">
        <v>186</v>
      </c>
      <c r="C489" s="7" t="s">
        <v>162</v>
      </c>
      <c r="D489" s="7" t="s">
        <v>39</v>
      </c>
      <c r="E489" s="7" t="s">
        <v>165</v>
      </c>
      <c r="F489" s="7" t="n">
        <v>5</v>
      </c>
      <c r="G489" s="7" t="n">
        <v>400</v>
      </c>
      <c r="H489" s="10" t="n">
        <v>0.0125</v>
      </c>
      <c r="I489" s="7" t="n">
        <v>13.22</v>
      </c>
      <c r="J489" s="7" t="s">
        <v>181</v>
      </c>
      <c r="K489" s="7" t="s">
        <v>187</v>
      </c>
      <c r="L489" s="7" t="s">
        <v>188</v>
      </c>
      <c r="M489" s="3"/>
      <c r="N489" s="3"/>
      <c r="O489" s="3"/>
      <c r="P489" s="3"/>
    </row>
    <row r="490" customFormat="false" ht="15.75" hidden="false" customHeight="true" outlineLevel="0" collapsed="false">
      <c r="A490" s="8" t="n">
        <v>45828</v>
      </c>
      <c r="B490" s="7" t="s">
        <v>189</v>
      </c>
      <c r="C490" s="7" t="s">
        <v>163</v>
      </c>
      <c r="D490" s="7" t="s">
        <v>39</v>
      </c>
      <c r="E490" s="7" t="s">
        <v>160</v>
      </c>
      <c r="F490" s="7" t="n">
        <v>6</v>
      </c>
      <c r="G490" s="7" t="n">
        <v>521</v>
      </c>
      <c r="H490" s="10" t="n">
        <v>0.0115163147792706</v>
      </c>
      <c r="I490" s="7" t="n">
        <v>13.44</v>
      </c>
      <c r="J490" s="7" t="s">
        <v>181</v>
      </c>
      <c r="K490" s="7" t="s">
        <v>187</v>
      </c>
      <c r="L490" s="7" t="s">
        <v>190</v>
      </c>
      <c r="M490" s="3"/>
      <c r="N490" s="3"/>
      <c r="O490" s="3"/>
      <c r="P490" s="3"/>
    </row>
    <row r="491" customFormat="false" ht="15.75" hidden="false" customHeight="true" outlineLevel="0" collapsed="false">
      <c r="A491" s="8" t="n">
        <v>45828</v>
      </c>
      <c r="B491" s="7" t="s">
        <v>191</v>
      </c>
      <c r="C491" s="7" t="s">
        <v>166</v>
      </c>
      <c r="D491" s="7" t="s">
        <v>39</v>
      </c>
      <c r="E491" s="7" t="s">
        <v>160</v>
      </c>
      <c r="F491" s="7" t="n">
        <v>23</v>
      </c>
      <c r="G491" s="7" t="n">
        <v>434</v>
      </c>
      <c r="H491" s="10" t="n">
        <v>0.0529953917050691</v>
      </c>
      <c r="I491" s="7" t="n">
        <v>3.37</v>
      </c>
      <c r="J491" s="7" t="s">
        <v>178</v>
      </c>
      <c r="K491" s="7" t="s">
        <v>192</v>
      </c>
      <c r="L491" s="7" t="s">
        <v>178</v>
      </c>
      <c r="M491" s="3"/>
      <c r="N491" s="3"/>
      <c r="O491" s="3"/>
      <c r="P491" s="3"/>
    </row>
    <row r="492" customFormat="false" ht="15.75" hidden="false" customHeight="true" outlineLevel="0" collapsed="false">
      <c r="A492" s="8" t="n">
        <v>45829</v>
      </c>
      <c r="B492" s="7" t="s">
        <v>177</v>
      </c>
      <c r="C492" s="7" t="s">
        <v>164</v>
      </c>
      <c r="D492" s="7" t="s">
        <v>39</v>
      </c>
      <c r="E492" s="7" t="s">
        <v>160</v>
      </c>
      <c r="F492" s="7" t="n">
        <v>21</v>
      </c>
      <c r="G492" s="7" t="n">
        <v>396</v>
      </c>
      <c r="H492" s="10" t="n">
        <v>0.053030303030303</v>
      </c>
      <c r="I492" s="7" t="n">
        <v>3.85</v>
      </c>
      <c r="J492" s="7" t="s">
        <v>178</v>
      </c>
      <c r="K492" s="7" t="s">
        <v>179</v>
      </c>
      <c r="L492" s="7" t="s">
        <v>178</v>
      </c>
      <c r="M492" s="3"/>
      <c r="N492" s="3"/>
      <c r="O492" s="3"/>
      <c r="P492" s="3"/>
    </row>
    <row r="493" customFormat="false" ht="15.75" hidden="false" customHeight="true" outlineLevel="0" collapsed="false">
      <c r="A493" s="8" t="n">
        <v>45829</v>
      </c>
      <c r="B493" s="7" t="s">
        <v>180</v>
      </c>
      <c r="C493" s="7" t="s">
        <v>157</v>
      </c>
      <c r="D493" s="7" t="s">
        <v>39</v>
      </c>
      <c r="E493" s="7" t="s">
        <v>160</v>
      </c>
      <c r="F493" s="7" t="n">
        <v>17</v>
      </c>
      <c r="G493" s="7" t="n">
        <v>637</v>
      </c>
      <c r="H493" s="10" t="n">
        <v>0.0266875981161696</v>
      </c>
      <c r="I493" s="7" t="n">
        <v>8.3</v>
      </c>
      <c r="J493" s="7" t="s">
        <v>181</v>
      </c>
      <c r="K493" s="7" t="s">
        <v>182</v>
      </c>
      <c r="L493" s="7" t="s">
        <v>183</v>
      </c>
      <c r="M493" s="3"/>
      <c r="N493" s="3"/>
      <c r="O493" s="3"/>
      <c r="P493" s="3"/>
    </row>
    <row r="494" customFormat="false" ht="15.75" hidden="false" customHeight="true" outlineLevel="0" collapsed="false">
      <c r="A494" s="8" t="n">
        <v>45829</v>
      </c>
      <c r="B494" s="7" t="s">
        <v>184</v>
      </c>
      <c r="C494" s="7" t="s">
        <v>161</v>
      </c>
      <c r="D494" s="7" t="s">
        <v>39</v>
      </c>
      <c r="E494" s="7" t="s">
        <v>160</v>
      </c>
      <c r="F494" s="7" t="n">
        <v>18</v>
      </c>
      <c r="G494" s="7" t="n">
        <v>670</v>
      </c>
      <c r="H494" s="10" t="n">
        <v>0.026865671641791</v>
      </c>
      <c r="I494" s="7" t="n">
        <v>9.33</v>
      </c>
      <c r="J494" s="7" t="s">
        <v>181</v>
      </c>
      <c r="K494" s="7" t="s">
        <v>182</v>
      </c>
      <c r="L494" s="7" t="s">
        <v>185</v>
      </c>
      <c r="M494" s="3"/>
      <c r="N494" s="3"/>
      <c r="O494" s="3"/>
      <c r="P494" s="3"/>
    </row>
    <row r="495" customFormat="false" ht="15.75" hidden="false" customHeight="true" outlineLevel="0" collapsed="false">
      <c r="A495" s="8" t="n">
        <v>45829</v>
      </c>
      <c r="B495" s="7" t="s">
        <v>186</v>
      </c>
      <c r="C495" s="7" t="s">
        <v>162</v>
      </c>
      <c r="D495" s="7" t="s">
        <v>39</v>
      </c>
      <c r="E495" s="7" t="s">
        <v>160</v>
      </c>
      <c r="F495" s="7" t="n">
        <v>6</v>
      </c>
      <c r="G495" s="7" t="n">
        <v>521</v>
      </c>
      <c r="H495" s="10" t="n">
        <v>0.0115163147792706</v>
      </c>
      <c r="I495" s="7" t="n">
        <v>13.9</v>
      </c>
      <c r="J495" s="7" t="s">
        <v>181</v>
      </c>
      <c r="K495" s="7" t="s">
        <v>187</v>
      </c>
      <c r="L495" s="7" t="s">
        <v>188</v>
      </c>
      <c r="M495" s="3"/>
      <c r="N495" s="3"/>
      <c r="O495" s="3"/>
      <c r="P495" s="3"/>
    </row>
    <row r="496" customFormat="false" ht="15.75" hidden="false" customHeight="true" outlineLevel="0" collapsed="false">
      <c r="A496" s="8" t="n">
        <v>45829</v>
      </c>
      <c r="B496" s="7" t="s">
        <v>189</v>
      </c>
      <c r="C496" s="7" t="s">
        <v>163</v>
      </c>
      <c r="D496" s="7" t="s">
        <v>39</v>
      </c>
      <c r="E496" s="7" t="s">
        <v>160</v>
      </c>
      <c r="F496" s="7" t="n">
        <v>6</v>
      </c>
      <c r="G496" s="7" t="n">
        <v>489</v>
      </c>
      <c r="H496" s="10" t="n">
        <v>0.0122699386503068</v>
      </c>
      <c r="I496" s="7" t="n">
        <v>12.71</v>
      </c>
      <c r="J496" s="7" t="s">
        <v>181</v>
      </c>
      <c r="K496" s="7" t="s">
        <v>187</v>
      </c>
      <c r="L496" s="7" t="s">
        <v>190</v>
      </c>
      <c r="M496" s="3"/>
      <c r="N496" s="3"/>
      <c r="O496" s="3"/>
      <c r="P496" s="3"/>
    </row>
    <row r="497" customFormat="false" ht="15.75" hidden="false" customHeight="true" outlineLevel="0" collapsed="false">
      <c r="A497" s="8" t="n">
        <v>45829</v>
      </c>
      <c r="B497" s="7" t="s">
        <v>191</v>
      </c>
      <c r="C497" s="7" t="s">
        <v>166</v>
      </c>
      <c r="D497" s="7" t="s">
        <v>39</v>
      </c>
      <c r="E497" s="7" t="s">
        <v>165</v>
      </c>
      <c r="F497" s="7" t="n">
        <v>22</v>
      </c>
      <c r="G497" s="7" t="n">
        <v>406</v>
      </c>
      <c r="H497" s="10" t="n">
        <v>0.0541871921182266</v>
      </c>
      <c r="I497" s="7" t="n">
        <v>3.75</v>
      </c>
      <c r="J497" s="7" t="s">
        <v>178</v>
      </c>
      <c r="K497" s="7" t="s">
        <v>192</v>
      </c>
      <c r="L497" s="7" t="s">
        <v>178</v>
      </c>
      <c r="M497" s="3"/>
      <c r="N497" s="3"/>
      <c r="O497" s="3"/>
      <c r="P497" s="3"/>
    </row>
    <row r="498" customFormat="false" ht="15.75" hidden="false" customHeight="true" outlineLevel="0" collapsed="false">
      <c r="A498" s="8" t="n">
        <v>45830</v>
      </c>
      <c r="B498" s="7" t="s">
        <v>177</v>
      </c>
      <c r="C498" s="7" t="s">
        <v>164</v>
      </c>
      <c r="D498" s="7" t="s">
        <v>39</v>
      </c>
      <c r="E498" s="7" t="s">
        <v>160</v>
      </c>
      <c r="F498" s="7" t="n">
        <v>18</v>
      </c>
      <c r="G498" s="7" t="n">
        <v>342</v>
      </c>
      <c r="H498" s="10" t="n">
        <v>0.0526315789473684</v>
      </c>
      <c r="I498" s="7" t="n">
        <v>3.62</v>
      </c>
      <c r="J498" s="7" t="s">
        <v>178</v>
      </c>
      <c r="K498" s="7" t="s">
        <v>179</v>
      </c>
      <c r="L498" s="7" t="s">
        <v>178</v>
      </c>
      <c r="M498" s="3"/>
      <c r="N498" s="3"/>
      <c r="O498" s="3"/>
      <c r="P498" s="3"/>
    </row>
    <row r="499" customFormat="false" ht="15.75" hidden="false" customHeight="true" outlineLevel="0" collapsed="false">
      <c r="A499" s="8" t="n">
        <v>45830</v>
      </c>
      <c r="B499" s="7" t="s">
        <v>180</v>
      </c>
      <c r="C499" s="7" t="s">
        <v>157</v>
      </c>
      <c r="D499" s="7" t="s">
        <v>39</v>
      </c>
      <c r="E499" s="7" t="s">
        <v>165</v>
      </c>
      <c r="F499" s="7" t="n">
        <v>16</v>
      </c>
      <c r="G499" s="7" t="n">
        <v>588</v>
      </c>
      <c r="H499" s="10" t="n">
        <v>0.0272108843537415</v>
      </c>
      <c r="I499" s="7" t="n">
        <v>9.04</v>
      </c>
      <c r="J499" s="7" t="s">
        <v>181</v>
      </c>
      <c r="K499" s="7" t="s">
        <v>182</v>
      </c>
      <c r="L499" s="7" t="s">
        <v>183</v>
      </c>
      <c r="M499" s="3"/>
      <c r="N499" s="3"/>
      <c r="O499" s="3"/>
      <c r="P499" s="3"/>
    </row>
    <row r="500" customFormat="false" ht="15.75" hidden="false" customHeight="true" outlineLevel="0" collapsed="false">
      <c r="A500" s="8" t="n">
        <v>45830</v>
      </c>
      <c r="B500" s="7" t="s">
        <v>184</v>
      </c>
      <c r="C500" s="7" t="s">
        <v>161</v>
      </c>
      <c r="D500" s="7" t="s">
        <v>39</v>
      </c>
      <c r="E500" s="7" t="s">
        <v>160</v>
      </c>
      <c r="F500" s="7" t="n">
        <v>18</v>
      </c>
      <c r="G500" s="7" t="n">
        <v>676</v>
      </c>
      <c r="H500" s="10" t="n">
        <v>0.0266272189349112</v>
      </c>
      <c r="I500" s="7" t="n">
        <v>9.11</v>
      </c>
      <c r="J500" s="7" t="s">
        <v>181</v>
      </c>
      <c r="K500" s="7" t="s">
        <v>182</v>
      </c>
      <c r="L500" s="7" t="s">
        <v>185</v>
      </c>
      <c r="M500" s="3"/>
      <c r="N500" s="3"/>
      <c r="O500" s="3"/>
      <c r="P500" s="3"/>
    </row>
    <row r="501" customFormat="false" ht="15.75" hidden="false" customHeight="true" outlineLevel="0" collapsed="false">
      <c r="A501" s="8" t="n">
        <v>45830</v>
      </c>
      <c r="B501" s="7" t="s">
        <v>186</v>
      </c>
      <c r="C501" s="7" t="s">
        <v>162</v>
      </c>
      <c r="D501" s="7" t="s">
        <v>39</v>
      </c>
      <c r="E501" s="7" t="s">
        <v>160</v>
      </c>
      <c r="F501" s="7" t="n">
        <v>6</v>
      </c>
      <c r="G501" s="7" t="n">
        <v>496</v>
      </c>
      <c r="H501" s="10" t="n">
        <v>0.0120967741935484</v>
      </c>
      <c r="I501" s="7" t="n">
        <v>13.84</v>
      </c>
      <c r="J501" s="7" t="s">
        <v>181</v>
      </c>
      <c r="K501" s="7" t="s">
        <v>187</v>
      </c>
      <c r="L501" s="7" t="s">
        <v>188</v>
      </c>
      <c r="M501" s="3"/>
      <c r="N501" s="3"/>
      <c r="O501" s="3"/>
      <c r="P501" s="3"/>
    </row>
    <row r="502" customFormat="false" ht="15.75" hidden="false" customHeight="true" outlineLevel="0" collapsed="false">
      <c r="A502" s="8" t="n">
        <v>45830</v>
      </c>
      <c r="B502" s="7" t="s">
        <v>189</v>
      </c>
      <c r="C502" s="7" t="s">
        <v>163</v>
      </c>
      <c r="D502" s="7" t="s">
        <v>39</v>
      </c>
      <c r="E502" s="7" t="s">
        <v>160</v>
      </c>
      <c r="F502" s="7" t="n">
        <v>5</v>
      </c>
      <c r="G502" s="7" t="n">
        <v>400</v>
      </c>
      <c r="H502" s="10" t="n">
        <v>0.0125</v>
      </c>
      <c r="I502" s="7" t="n">
        <v>12.6</v>
      </c>
      <c r="J502" s="7" t="s">
        <v>181</v>
      </c>
      <c r="K502" s="7" t="s">
        <v>187</v>
      </c>
      <c r="L502" s="7" t="s">
        <v>190</v>
      </c>
      <c r="M502" s="3"/>
      <c r="N502" s="3"/>
      <c r="O502" s="3"/>
      <c r="P502" s="3"/>
    </row>
    <row r="503" customFormat="false" ht="15.75" hidden="false" customHeight="true" outlineLevel="0" collapsed="false">
      <c r="A503" s="8" t="n">
        <v>45830</v>
      </c>
      <c r="B503" s="7" t="s">
        <v>191</v>
      </c>
      <c r="C503" s="7" t="s">
        <v>166</v>
      </c>
      <c r="D503" s="7" t="s">
        <v>39</v>
      </c>
      <c r="E503" s="7" t="s">
        <v>160</v>
      </c>
      <c r="F503" s="7" t="n">
        <v>18</v>
      </c>
      <c r="G503" s="7" t="n">
        <v>340</v>
      </c>
      <c r="H503" s="10" t="n">
        <v>0.0529411764705882</v>
      </c>
      <c r="I503" s="7" t="n">
        <v>3.19</v>
      </c>
      <c r="J503" s="7" t="s">
        <v>178</v>
      </c>
      <c r="K503" s="7" t="s">
        <v>192</v>
      </c>
      <c r="L503" s="7" t="s">
        <v>178</v>
      </c>
      <c r="M503" s="3"/>
      <c r="N503" s="3"/>
      <c r="O503" s="3"/>
      <c r="P503" s="3"/>
    </row>
    <row r="504" customFormat="false" ht="15.75" hidden="false" customHeight="true" outlineLevel="0" collapsed="false">
      <c r="A504" s="8" t="n">
        <v>45831</v>
      </c>
      <c r="B504" s="7" t="s">
        <v>177</v>
      </c>
      <c r="C504" s="7" t="s">
        <v>164</v>
      </c>
      <c r="D504" s="7" t="s">
        <v>39</v>
      </c>
      <c r="E504" s="7" t="s">
        <v>160</v>
      </c>
      <c r="F504" s="7" t="n">
        <v>17</v>
      </c>
      <c r="G504" s="7" t="n">
        <v>320</v>
      </c>
      <c r="H504" s="10" t="n">
        <v>0.053125</v>
      </c>
      <c r="I504" s="7" t="n">
        <v>3.79</v>
      </c>
      <c r="J504" s="7" t="s">
        <v>178</v>
      </c>
      <c r="K504" s="7" t="s">
        <v>179</v>
      </c>
      <c r="L504" s="7" t="s">
        <v>178</v>
      </c>
      <c r="M504" s="3"/>
      <c r="N504" s="3"/>
      <c r="O504" s="3"/>
      <c r="P504" s="3"/>
    </row>
    <row r="505" customFormat="false" ht="15.75" hidden="false" customHeight="true" outlineLevel="0" collapsed="false">
      <c r="A505" s="8" t="n">
        <v>45831</v>
      </c>
      <c r="B505" s="7" t="s">
        <v>180</v>
      </c>
      <c r="C505" s="7" t="s">
        <v>157</v>
      </c>
      <c r="D505" s="7" t="s">
        <v>39</v>
      </c>
      <c r="E505" s="7" t="s">
        <v>160</v>
      </c>
      <c r="F505" s="7" t="n">
        <v>18</v>
      </c>
      <c r="G505" s="7" t="n">
        <v>648</v>
      </c>
      <c r="H505" s="10" t="n">
        <v>0.0277777777777778</v>
      </c>
      <c r="I505" s="7" t="n">
        <v>8.82</v>
      </c>
      <c r="J505" s="7" t="s">
        <v>181</v>
      </c>
      <c r="K505" s="7" t="s">
        <v>182</v>
      </c>
      <c r="L505" s="7" t="s">
        <v>183</v>
      </c>
      <c r="M505" s="3"/>
      <c r="N505" s="3"/>
      <c r="O505" s="3"/>
      <c r="P505" s="3"/>
    </row>
    <row r="506" customFormat="false" ht="15.75" hidden="false" customHeight="true" outlineLevel="0" collapsed="false">
      <c r="A506" s="8" t="n">
        <v>45831</v>
      </c>
      <c r="B506" s="7" t="s">
        <v>184</v>
      </c>
      <c r="C506" s="7" t="s">
        <v>161</v>
      </c>
      <c r="D506" s="7" t="s">
        <v>39</v>
      </c>
      <c r="E506" s="7" t="s">
        <v>160</v>
      </c>
      <c r="F506" s="7" t="n">
        <v>16</v>
      </c>
      <c r="G506" s="7" t="n">
        <v>576</v>
      </c>
      <c r="H506" s="10" t="n">
        <v>0.0277777777777778</v>
      </c>
      <c r="I506" s="7" t="n">
        <v>8.59</v>
      </c>
      <c r="J506" s="7" t="s">
        <v>181</v>
      </c>
      <c r="K506" s="7" t="s">
        <v>182</v>
      </c>
      <c r="L506" s="7" t="s">
        <v>185</v>
      </c>
      <c r="M506" s="3"/>
      <c r="N506" s="3"/>
      <c r="O506" s="3"/>
      <c r="P506" s="3"/>
    </row>
    <row r="507" customFormat="false" ht="15.75" hidden="false" customHeight="true" outlineLevel="0" collapsed="false">
      <c r="A507" s="8" t="n">
        <v>45831</v>
      </c>
      <c r="B507" s="7" t="s">
        <v>186</v>
      </c>
      <c r="C507" s="7" t="s">
        <v>162</v>
      </c>
      <c r="D507" s="7" t="s">
        <v>39</v>
      </c>
      <c r="E507" s="7" t="s">
        <v>160</v>
      </c>
      <c r="F507" s="7" t="n">
        <v>5</v>
      </c>
      <c r="G507" s="7" t="n">
        <v>434</v>
      </c>
      <c r="H507" s="10" t="n">
        <v>0.0115207373271889</v>
      </c>
      <c r="I507" s="7" t="n">
        <v>13.19</v>
      </c>
      <c r="J507" s="7" t="s">
        <v>181</v>
      </c>
      <c r="K507" s="7" t="s">
        <v>187</v>
      </c>
      <c r="L507" s="7" t="s">
        <v>188</v>
      </c>
      <c r="M507" s="3"/>
      <c r="N507" s="3"/>
      <c r="O507" s="3"/>
      <c r="P507" s="3"/>
    </row>
    <row r="508" customFormat="false" ht="15.75" hidden="false" customHeight="true" outlineLevel="0" collapsed="false">
      <c r="A508" s="8" t="n">
        <v>45831</v>
      </c>
      <c r="B508" s="7" t="s">
        <v>189</v>
      </c>
      <c r="C508" s="7" t="s">
        <v>163</v>
      </c>
      <c r="D508" s="7" t="s">
        <v>39</v>
      </c>
      <c r="E508" s="7" t="s">
        <v>160</v>
      </c>
      <c r="F508" s="7" t="n">
        <v>7</v>
      </c>
      <c r="G508" s="7" t="n">
        <v>539</v>
      </c>
      <c r="H508" s="10" t="n">
        <v>0.012987012987013</v>
      </c>
      <c r="I508" s="7" t="n">
        <v>12.65</v>
      </c>
      <c r="J508" s="7" t="s">
        <v>181</v>
      </c>
      <c r="K508" s="7" t="s">
        <v>187</v>
      </c>
      <c r="L508" s="7" t="s">
        <v>190</v>
      </c>
      <c r="M508" s="3"/>
      <c r="N508" s="3"/>
      <c r="O508" s="3"/>
      <c r="P508" s="3"/>
    </row>
    <row r="509" customFormat="false" ht="15.75" hidden="false" customHeight="true" outlineLevel="0" collapsed="false">
      <c r="A509" s="8" t="n">
        <v>45831</v>
      </c>
      <c r="B509" s="7" t="s">
        <v>191</v>
      </c>
      <c r="C509" s="7" t="s">
        <v>166</v>
      </c>
      <c r="D509" s="7" t="s">
        <v>39</v>
      </c>
      <c r="E509" s="7" t="s">
        <v>165</v>
      </c>
      <c r="F509" s="7" t="n">
        <v>23</v>
      </c>
      <c r="G509" s="7" t="n">
        <v>424</v>
      </c>
      <c r="H509" s="10" t="n">
        <v>0.0542452830188679</v>
      </c>
      <c r="I509" s="7" t="n">
        <v>3.56</v>
      </c>
      <c r="J509" s="7" t="s">
        <v>178</v>
      </c>
      <c r="K509" s="7" t="s">
        <v>192</v>
      </c>
      <c r="L509" s="7" t="s">
        <v>178</v>
      </c>
      <c r="M509" s="3"/>
      <c r="N509" s="3"/>
      <c r="O509" s="3"/>
      <c r="P509" s="3"/>
    </row>
    <row r="510" customFormat="false" ht="15.75" hidden="false" customHeight="true" outlineLevel="0" collapsed="false">
      <c r="A510" s="8" t="n">
        <v>45832</v>
      </c>
      <c r="B510" s="7" t="s">
        <v>177</v>
      </c>
      <c r="C510" s="7" t="s">
        <v>164</v>
      </c>
      <c r="D510" s="7" t="s">
        <v>39</v>
      </c>
      <c r="E510" s="7" t="s">
        <v>165</v>
      </c>
      <c r="F510" s="7" t="n">
        <v>19</v>
      </c>
      <c r="G510" s="7" t="n">
        <v>356</v>
      </c>
      <c r="H510" s="10" t="n">
        <v>0.0533707865168539</v>
      </c>
      <c r="I510" s="7" t="n">
        <v>4.16</v>
      </c>
      <c r="J510" s="7" t="s">
        <v>178</v>
      </c>
      <c r="K510" s="7" t="s">
        <v>179</v>
      </c>
      <c r="L510" s="7" t="s">
        <v>178</v>
      </c>
      <c r="M510" s="3"/>
      <c r="N510" s="3"/>
      <c r="O510" s="3"/>
      <c r="P510" s="3"/>
    </row>
    <row r="511" customFormat="false" ht="15.75" hidden="false" customHeight="true" outlineLevel="0" collapsed="false">
      <c r="A511" s="8" t="n">
        <v>45832</v>
      </c>
      <c r="B511" s="7" t="s">
        <v>180</v>
      </c>
      <c r="C511" s="7" t="s">
        <v>157</v>
      </c>
      <c r="D511" s="7" t="s">
        <v>39</v>
      </c>
      <c r="E511" s="7" t="s">
        <v>160</v>
      </c>
      <c r="F511" s="7" t="n">
        <v>17</v>
      </c>
      <c r="G511" s="7" t="n">
        <v>608</v>
      </c>
      <c r="H511" s="10" t="n">
        <v>0.0279605263157895</v>
      </c>
      <c r="I511" s="7" t="n">
        <v>8.86</v>
      </c>
      <c r="J511" s="7" t="s">
        <v>181</v>
      </c>
      <c r="K511" s="7" t="s">
        <v>182</v>
      </c>
      <c r="L511" s="7" t="s">
        <v>183</v>
      </c>
      <c r="M511" s="3"/>
      <c r="N511" s="3"/>
      <c r="O511" s="3"/>
      <c r="P511" s="3"/>
    </row>
    <row r="512" customFormat="false" ht="15.75" hidden="false" customHeight="true" outlineLevel="0" collapsed="false">
      <c r="A512" s="8" t="n">
        <v>45832</v>
      </c>
      <c r="B512" s="7" t="s">
        <v>184</v>
      </c>
      <c r="C512" s="7" t="s">
        <v>161</v>
      </c>
      <c r="D512" s="7" t="s">
        <v>39</v>
      </c>
      <c r="E512" s="7" t="s">
        <v>160</v>
      </c>
      <c r="F512" s="7" t="n">
        <v>18</v>
      </c>
      <c r="G512" s="7" t="n">
        <v>669</v>
      </c>
      <c r="H512" s="10" t="n">
        <v>0.0269058295964126</v>
      </c>
      <c r="I512" s="7" t="n">
        <v>8.49</v>
      </c>
      <c r="J512" s="7" t="s">
        <v>181</v>
      </c>
      <c r="K512" s="7" t="s">
        <v>182</v>
      </c>
      <c r="L512" s="7" t="s">
        <v>185</v>
      </c>
      <c r="M512" s="3"/>
      <c r="N512" s="3"/>
      <c r="O512" s="3"/>
      <c r="P512" s="3"/>
    </row>
    <row r="513" customFormat="false" ht="15.75" hidden="false" customHeight="true" outlineLevel="0" collapsed="false">
      <c r="A513" s="8" t="n">
        <v>45832</v>
      </c>
      <c r="B513" s="7" t="s">
        <v>186</v>
      </c>
      <c r="C513" s="7" t="s">
        <v>162</v>
      </c>
      <c r="D513" s="7" t="s">
        <v>39</v>
      </c>
      <c r="E513" s="7" t="s">
        <v>160</v>
      </c>
      <c r="F513" s="7" t="n">
        <v>5</v>
      </c>
      <c r="G513" s="7" t="n">
        <v>416</v>
      </c>
      <c r="H513" s="10" t="n">
        <v>0.0120192307692308</v>
      </c>
      <c r="I513" s="7" t="n">
        <v>13.19</v>
      </c>
      <c r="J513" s="7" t="s">
        <v>181</v>
      </c>
      <c r="K513" s="7" t="s">
        <v>187</v>
      </c>
      <c r="L513" s="7" t="s">
        <v>188</v>
      </c>
      <c r="M513" s="3"/>
      <c r="N513" s="3"/>
      <c r="O513" s="3"/>
      <c r="P513" s="3"/>
    </row>
    <row r="514" customFormat="false" ht="15.75" hidden="false" customHeight="true" outlineLevel="0" collapsed="false">
      <c r="A514" s="8" t="n">
        <v>45832</v>
      </c>
      <c r="B514" s="7" t="s">
        <v>189</v>
      </c>
      <c r="C514" s="7" t="s">
        <v>163</v>
      </c>
      <c r="D514" s="7" t="s">
        <v>39</v>
      </c>
      <c r="E514" s="7" t="s">
        <v>160</v>
      </c>
      <c r="F514" s="7" t="n">
        <v>6</v>
      </c>
      <c r="G514" s="7" t="n">
        <v>515</v>
      </c>
      <c r="H514" s="10" t="n">
        <v>0.0116504854368932</v>
      </c>
      <c r="I514" s="7" t="n">
        <v>13.47</v>
      </c>
      <c r="J514" s="7" t="s">
        <v>181</v>
      </c>
      <c r="K514" s="7" t="s">
        <v>187</v>
      </c>
      <c r="L514" s="7" t="s">
        <v>190</v>
      </c>
      <c r="M514" s="3"/>
      <c r="N514" s="3"/>
      <c r="O514" s="3"/>
      <c r="P514" s="3"/>
    </row>
    <row r="515" customFormat="false" ht="15.75" hidden="false" customHeight="true" outlineLevel="0" collapsed="false">
      <c r="A515" s="8" t="n">
        <v>45832</v>
      </c>
      <c r="B515" s="7" t="s">
        <v>191</v>
      </c>
      <c r="C515" s="7" t="s">
        <v>166</v>
      </c>
      <c r="D515" s="7" t="s">
        <v>39</v>
      </c>
      <c r="E515" s="7" t="s">
        <v>165</v>
      </c>
      <c r="F515" s="7" t="n">
        <v>22</v>
      </c>
      <c r="G515" s="7" t="n">
        <v>410</v>
      </c>
      <c r="H515" s="10" t="n">
        <v>0.0536585365853659</v>
      </c>
      <c r="I515" s="7" t="n">
        <v>4.26</v>
      </c>
      <c r="J515" s="7" t="s">
        <v>178</v>
      </c>
      <c r="K515" s="7" t="s">
        <v>192</v>
      </c>
      <c r="L515" s="7" t="s">
        <v>178</v>
      </c>
      <c r="M515" s="3"/>
      <c r="N515" s="3"/>
      <c r="O515" s="3"/>
      <c r="P515" s="3"/>
    </row>
    <row r="516" customFormat="false" ht="15.75" hidden="false" customHeight="true" outlineLevel="0" collapsed="false">
      <c r="A516" s="8" t="n">
        <v>45833</v>
      </c>
      <c r="B516" s="7" t="s">
        <v>177</v>
      </c>
      <c r="C516" s="7" t="s">
        <v>164</v>
      </c>
      <c r="D516" s="7" t="s">
        <v>39</v>
      </c>
      <c r="E516" s="7" t="s">
        <v>160</v>
      </c>
      <c r="F516" s="7" t="n">
        <v>17</v>
      </c>
      <c r="G516" s="7" t="n">
        <v>314</v>
      </c>
      <c r="H516" s="10" t="n">
        <v>0.054140127388535</v>
      </c>
      <c r="I516" s="7" t="n">
        <v>4.14</v>
      </c>
      <c r="J516" s="7" t="s">
        <v>178</v>
      </c>
      <c r="K516" s="7" t="s">
        <v>179</v>
      </c>
      <c r="L516" s="7" t="s">
        <v>178</v>
      </c>
      <c r="M516" s="3"/>
      <c r="N516" s="3"/>
      <c r="O516" s="3"/>
      <c r="P516" s="3"/>
    </row>
    <row r="517" customFormat="false" ht="15.75" hidden="false" customHeight="true" outlineLevel="0" collapsed="false">
      <c r="A517" s="8" t="n">
        <v>45833</v>
      </c>
      <c r="B517" s="7" t="s">
        <v>180</v>
      </c>
      <c r="C517" s="7" t="s">
        <v>157</v>
      </c>
      <c r="D517" s="7" t="s">
        <v>39</v>
      </c>
      <c r="E517" s="7" t="s">
        <v>160</v>
      </c>
      <c r="F517" s="7" t="n">
        <v>19</v>
      </c>
      <c r="G517" s="7" t="n">
        <v>702</v>
      </c>
      <c r="H517" s="10" t="n">
        <v>0.0270655270655271</v>
      </c>
      <c r="I517" s="7" t="n">
        <v>8.92</v>
      </c>
      <c r="J517" s="7" t="s">
        <v>181</v>
      </c>
      <c r="K517" s="7" t="s">
        <v>182</v>
      </c>
      <c r="L517" s="7" t="s">
        <v>183</v>
      </c>
      <c r="M517" s="3"/>
      <c r="N517" s="3"/>
      <c r="O517" s="3"/>
      <c r="P517" s="3"/>
    </row>
    <row r="518" customFormat="false" ht="15.75" hidden="false" customHeight="true" outlineLevel="0" collapsed="false">
      <c r="A518" s="8" t="n">
        <v>45833</v>
      </c>
      <c r="B518" s="7" t="s">
        <v>184</v>
      </c>
      <c r="C518" s="7" t="s">
        <v>161</v>
      </c>
      <c r="D518" s="7" t="s">
        <v>39</v>
      </c>
      <c r="E518" s="7" t="s">
        <v>160</v>
      </c>
      <c r="F518" s="7" t="n">
        <v>17</v>
      </c>
      <c r="G518" s="7" t="n">
        <v>635</v>
      </c>
      <c r="H518" s="10" t="n">
        <v>0.0267716535433071</v>
      </c>
      <c r="I518" s="7" t="n">
        <v>8.55</v>
      </c>
      <c r="J518" s="7" t="s">
        <v>181</v>
      </c>
      <c r="K518" s="7" t="s">
        <v>182</v>
      </c>
      <c r="L518" s="7" t="s">
        <v>185</v>
      </c>
      <c r="M518" s="3"/>
      <c r="N518" s="3"/>
      <c r="O518" s="3"/>
      <c r="P518" s="3"/>
    </row>
    <row r="519" customFormat="false" ht="15.75" hidden="false" customHeight="true" outlineLevel="0" collapsed="false">
      <c r="A519" s="8" t="n">
        <v>45833</v>
      </c>
      <c r="B519" s="7" t="s">
        <v>186</v>
      </c>
      <c r="C519" s="7" t="s">
        <v>162</v>
      </c>
      <c r="D519" s="7" t="s">
        <v>39</v>
      </c>
      <c r="E519" s="7" t="s">
        <v>160</v>
      </c>
      <c r="F519" s="7" t="n">
        <v>6</v>
      </c>
      <c r="G519" s="7" t="n">
        <v>479</v>
      </c>
      <c r="H519" s="10" t="n">
        <v>0.0125260960334029</v>
      </c>
      <c r="I519" s="7" t="n">
        <v>13.82</v>
      </c>
      <c r="J519" s="7" t="s">
        <v>181</v>
      </c>
      <c r="K519" s="7" t="s">
        <v>187</v>
      </c>
      <c r="L519" s="7" t="s">
        <v>188</v>
      </c>
      <c r="M519" s="3"/>
      <c r="N519" s="3"/>
      <c r="O519" s="3"/>
      <c r="P519" s="3"/>
    </row>
    <row r="520" customFormat="false" ht="15.75" hidden="false" customHeight="true" outlineLevel="0" collapsed="false">
      <c r="A520" s="8" t="n">
        <v>45833</v>
      </c>
      <c r="B520" s="7" t="s">
        <v>189</v>
      </c>
      <c r="C520" s="7" t="s">
        <v>163</v>
      </c>
      <c r="D520" s="7" t="s">
        <v>39</v>
      </c>
      <c r="E520" s="7" t="s">
        <v>160</v>
      </c>
      <c r="F520" s="7" t="n">
        <v>6</v>
      </c>
      <c r="G520" s="7" t="n">
        <v>465</v>
      </c>
      <c r="H520" s="10" t="n">
        <v>0.0129032258064516</v>
      </c>
      <c r="I520" s="7" t="n">
        <v>13.66</v>
      </c>
      <c r="J520" s="7" t="s">
        <v>181</v>
      </c>
      <c r="K520" s="7" t="s">
        <v>187</v>
      </c>
      <c r="L520" s="7" t="s">
        <v>190</v>
      </c>
      <c r="M520" s="3"/>
      <c r="N520" s="3"/>
      <c r="O520" s="3"/>
      <c r="P520" s="3"/>
    </row>
    <row r="521" customFormat="false" ht="15.75" hidden="false" customHeight="true" outlineLevel="0" collapsed="false">
      <c r="A521" s="8" t="n">
        <v>45833</v>
      </c>
      <c r="B521" s="7" t="s">
        <v>191</v>
      </c>
      <c r="C521" s="7" t="s">
        <v>166</v>
      </c>
      <c r="D521" s="7" t="s">
        <v>39</v>
      </c>
      <c r="E521" s="7" t="s">
        <v>165</v>
      </c>
      <c r="F521" s="7" t="n">
        <v>22</v>
      </c>
      <c r="G521" s="7" t="n">
        <v>411</v>
      </c>
      <c r="H521" s="10" t="n">
        <v>0.0535279805352798</v>
      </c>
      <c r="I521" s="7" t="n">
        <v>4.22</v>
      </c>
      <c r="J521" s="7" t="s">
        <v>178</v>
      </c>
      <c r="K521" s="7" t="s">
        <v>192</v>
      </c>
      <c r="L521" s="7" t="s">
        <v>178</v>
      </c>
      <c r="M521" s="3"/>
      <c r="N521" s="3"/>
      <c r="O521" s="3"/>
      <c r="P521" s="3"/>
    </row>
    <row r="522" customFormat="false" ht="15.75" hidden="false" customHeight="true" outlineLevel="0" collapsed="false">
      <c r="A522" s="8" t="n">
        <v>45834</v>
      </c>
      <c r="B522" s="7" t="s">
        <v>177</v>
      </c>
      <c r="C522" s="7" t="s">
        <v>164</v>
      </c>
      <c r="D522" s="7" t="s">
        <v>39</v>
      </c>
      <c r="E522" s="7" t="s">
        <v>160</v>
      </c>
      <c r="F522" s="7" t="n">
        <v>19</v>
      </c>
      <c r="G522" s="7" t="n">
        <v>361</v>
      </c>
      <c r="H522" s="10" t="n">
        <v>0.0526315789473684</v>
      </c>
      <c r="I522" s="7" t="n">
        <v>3.65</v>
      </c>
      <c r="J522" s="7" t="s">
        <v>178</v>
      </c>
      <c r="K522" s="7" t="s">
        <v>179</v>
      </c>
      <c r="L522" s="7" t="s">
        <v>178</v>
      </c>
      <c r="M522" s="3"/>
      <c r="N522" s="3"/>
      <c r="O522" s="3"/>
      <c r="P522" s="3"/>
    </row>
    <row r="523" customFormat="false" ht="15.75" hidden="false" customHeight="true" outlineLevel="0" collapsed="false">
      <c r="A523" s="8" t="n">
        <v>45834</v>
      </c>
      <c r="B523" s="7" t="s">
        <v>180</v>
      </c>
      <c r="C523" s="7" t="s">
        <v>157</v>
      </c>
      <c r="D523" s="7" t="s">
        <v>39</v>
      </c>
      <c r="E523" s="7" t="s">
        <v>160</v>
      </c>
      <c r="F523" s="7" t="n">
        <v>16</v>
      </c>
      <c r="G523" s="7" t="n">
        <v>587</v>
      </c>
      <c r="H523" s="10" t="n">
        <v>0.0272572402044293</v>
      </c>
      <c r="I523" s="7" t="n">
        <v>8.52</v>
      </c>
      <c r="J523" s="7" t="s">
        <v>181</v>
      </c>
      <c r="K523" s="7" t="s">
        <v>182</v>
      </c>
      <c r="L523" s="7" t="s">
        <v>183</v>
      </c>
      <c r="M523" s="3"/>
      <c r="N523" s="3"/>
      <c r="O523" s="3"/>
      <c r="P523" s="3"/>
    </row>
    <row r="524" customFormat="false" ht="15.75" hidden="false" customHeight="true" outlineLevel="0" collapsed="false">
      <c r="A524" s="8" t="n">
        <v>45834</v>
      </c>
      <c r="B524" s="7" t="s">
        <v>184</v>
      </c>
      <c r="C524" s="7" t="s">
        <v>161</v>
      </c>
      <c r="D524" s="7" t="s">
        <v>39</v>
      </c>
      <c r="E524" s="7" t="s">
        <v>160</v>
      </c>
      <c r="F524" s="7" t="n">
        <v>18</v>
      </c>
      <c r="G524" s="7" t="n">
        <v>670</v>
      </c>
      <c r="H524" s="10" t="n">
        <v>0.026865671641791</v>
      </c>
      <c r="I524" s="7" t="n">
        <v>8.89</v>
      </c>
      <c r="J524" s="7" t="s">
        <v>181</v>
      </c>
      <c r="K524" s="7" t="s">
        <v>182</v>
      </c>
      <c r="L524" s="7" t="s">
        <v>185</v>
      </c>
      <c r="M524" s="3"/>
      <c r="N524" s="3"/>
      <c r="O524" s="3"/>
      <c r="P524" s="3"/>
    </row>
    <row r="525" customFormat="false" ht="15.75" hidden="false" customHeight="true" outlineLevel="0" collapsed="false">
      <c r="A525" s="8" t="n">
        <v>45834</v>
      </c>
      <c r="B525" s="7" t="s">
        <v>186</v>
      </c>
      <c r="C525" s="7" t="s">
        <v>162</v>
      </c>
      <c r="D525" s="7" t="s">
        <v>39</v>
      </c>
      <c r="E525" s="7" t="s">
        <v>160</v>
      </c>
      <c r="F525" s="7" t="n">
        <v>6</v>
      </c>
      <c r="G525" s="7" t="n">
        <v>491</v>
      </c>
      <c r="H525" s="10" t="n">
        <v>0.0122199592668024</v>
      </c>
      <c r="I525" s="7" t="n">
        <v>12.88</v>
      </c>
      <c r="J525" s="7" t="s">
        <v>181</v>
      </c>
      <c r="K525" s="7" t="s">
        <v>187</v>
      </c>
      <c r="L525" s="7" t="s">
        <v>188</v>
      </c>
      <c r="M525" s="3"/>
      <c r="N525" s="3"/>
      <c r="O525" s="3"/>
      <c r="P525" s="3"/>
    </row>
    <row r="526" customFormat="false" ht="15.75" hidden="false" customHeight="true" outlineLevel="0" collapsed="false">
      <c r="A526" s="8" t="n">
        <v>45834</v>
      </c>
      <c r="B526" s="7" t="s">
        <v>189</v>
      </c>
      <c r="C526" s="7" t="s">
        <v>163</v>
      </c>
      <c r="D526" s="7" t="s">
        <v>39</v>
      </c>
      <c r="E526" s="7" t="s">
        <v>160</v>
      </c>
      <c r="F526" s="7" t="n">
        <v>5</v>
      </c>
      <c r="G526" s="7" t="n">
        <v>455</v>
      </c>
      <c r="H526" s="10" t="n">
        <v>0.010989010989011</v>
      </c>
      <c r="I526" s="7" t="n">
        <v>13.96</v>
      </c>
      <c r="J526" s="7" t="s">
        <v>181</v>
      </c>
      <c r="K526" s="7" t="s">
        <v>187</v>
      </c>
      <c r="L526" s="7" t="s">
        <v>190</v>
      </c>
      <c r="M526" s="3"/>
      <c r="N526" s="3"/>
      <c r="O526" s="3"/>
      <c r="P526" s="3"/>
    </row>
    <row r="527" customFormat="false" ht="15.75" hidden="false" customHeight="true" outlineLevel="0" collapsed="false">
      <c r="A527" s="8" t="n">
        <v>45834</v>
      </c>
      <c r="B527" s="7" t="s">
        <v>191</v>
      </c>
      <c r="C527" s="7" t="s">
        <v>166</v>
      </c>
      <c r="D527" s="7" t="s">
        <v>39</v>
      </c>
      <c r="E527" s="7" t="s">
        <v>160</v>
      </c>
      <c r="F527" s="7" t="n">
        <v>18</v>
      </c>
      <c r="G527" s="7" t="n">
        <v>336</v>
      </c>
      <c r="H527" s="10" t="n">
        <v>0.0535714285714286</v>
      </c>
      <c r="I527" s="7" t="n">
        <v>3.13</v>
      </c>
      <c r="J527" s="7" t="s">
        <v>178</v>
      </c>
      <c r="K527" s="7" t="s">
        <v>192</v>
      </c>
      <c r="L527" s="7" t="s">
        <v>178</v>
      </c>
      <c r="M527" s="3"/>
      <c r="N527" s="3"/>
      <c r="O527" s="3"/>
      <c r="P527" s="3"/>
    </row>
    <row r="528" customFormat="false" ht="15.75" hidden="false" customHeight="true" outlineLevel="0" collapsed="false">
      <c r="A528" s="8" t="n">
        <v>45835</v>
      </c>
      <c r="B528" s="7" t="s">
        <v>177</v>
      </c>
      <c r="C528" s="7" t="s">
        <v>164</v>
      </c>
      <c r="D528" s="7" t="s">
        <v>39</v>
      </c>
      <c r="E528" s="7" t="s">
        <v>165</v>
      </c>
      <c r="F528" s="7" t="n">
        <v>23</v>
      </c>
      <c r="G528" s="7" t="n">
        <v>436</v>
      </c>
      <c r="H528" s="10" t="n">
        <v>0.0527522935779817</v>
      </c>
      <c r="I528" s="7" t="n">
        <v>3.86</v>
      </c>
      <c r="J528" s="7" t="s">
        <v>178</v>
      </c>
      <c r="K528" s="7" t="s">
        <v>179</v>
      </c>
      <c r="L528" s="7" t="s">
        <v>178</v>
      </c>
      <c r="M528" s="3"/>
      <c r="N528" s="3"/>
      <c r="O528" s="3"/>
      <c r="P528" s="3"/>
    </row>
    <row r="529" customFormat="false" ht="15.75" hidden="false" customHeight="true" outlineLevel="0" collapsed="false">
      <c r="A529" s="8" t="n">
        <v>45835</v>
      </c>
      <c r="B529" s="7" t="s">
        <v>180</v>
      </c>
      <c r="C529" s="7" t="s">
        <v>157</v>
      </c>
      <c r="D529" s="7" t="s">
        <v>39</v>
      </c>
      <c r="E529" s="7" t="s">
        <v>165</v>
      </c>
      <c r="F529" s="7" t="n">
        <v>20</v>
      </c>
      <c r="G529" s="7" t="n">
        <v>718</v>
      </c>
      <c r="H529" s="10" t="n">
        <v>0.0278551532033426</v>
      </c>
      <c r="I529" s="7" t="n">
        <v>9.31</v>
      </c>
      <c r="J529" s="7" t="s">
        <v>181</v>
      </c>
      <c r="K529" s="7" t="s">
        <v>182</v>
      </c>
      <c r="L529" s="7" t="s">
        <v>183</v>
      </c>
      <c r="M529" s="3"/>
      <c r="N529" s="3"/>
      <c r="O529" s="3"/>
      <c r="P529" s="3"/>
    </row>
    <row r="530" customFormat="false" ht="15.75" hidden="false" customHeight="true" outlineLevel="0" collapsed="false">
      <c r="A530" s="8" t="n">
        <v>45835</v>
      </c>
      <c r="B530" s="7" t="s">
        <v>184</v>
      </c>
      <c r="C530" s="7" t="s">
        <v>161</v>
      </c>
      <c r="D530" s="7" t="s">
        <v>39</v>
      </c>
      <c r="E530" s="7" t="s">
        <v>160</v>
      </c>
      <c r="F530" s="7" t="n">
        <v>18</v>
      </c>
      <c r="G530" s="7" t="n">
        <v>673</v>
      </c>
      <c r="H530" s="10" t="n">
        <v>0.0267459138187221</v>
      </c>
      <c r="I530" s="7" t="n">
        <v>8.77</v>
      </c>
      <c r="J530" s="7" t="s">
        <v>181</v>
      </c>
      <c r="K530" s="7" t="s">
        <v>182</v>
      </c>
      <c r="L530" s="7" t="s">
        <v>185</v>
      </c>
      <c r="M530" s="3"/>
      <c r="N530" s="3"/>
      <c r="O530" s="3"/>
      <c r="P530" s="3"/>
    </row>
    <row r="531" customFormat="false" ht="15.75" hidden="false" customHeight="true" outlineLevel="0" collapsed="false">
      <c r="A531" s="8" t="n">
        <v>45835</v>
      </c>
      <c r="B531" s="7" t="s">
        <v>186</v>
      </c>
      <c r="C531" s="7" t="s">
        <v>162</v>
      </c>
      <c r="D531" s="7" t="s">
        <v>39</v>
      </c>
      <c r="E531" s="7" t="s">
        <v>165</v>
      </c>
      <c r="F531" s="7" t="n">
        <v>6</v>
      </c>
      <c r="G531" s="7" t="n">
        <v>493</v>
      </c>
      <c r="H531" s="10" t="n">
        <v>0.0121703853955375</v>
      </c>
      <c r="I531" s="7" t="n">
        <v>13.88</v>
      </c>
      <c r="J531" s="7" t="s">
        <v>181</v>
      </c>
      <c r="K531" s="7" t="s">
        <v>187</v>
      </c>
      <c r="L531" s="7" t="s">
        <v>188</v>
      </c>
      <c r="M531" s="3"/>
      <c r="N531" s="3"/>
      <c r="O531" s="3"/>
      <c r="P531" s="3"/>
    </row>
    <row r="532" customFormat="false" ht="15.75" hidden="false" customHeight="true" outlineLevel="0" collapsed="false">
      <c r="A532" s="8" t="n">
        <v>45835</v>
      </c>
      <c r="B532" s="7" t="s">
        <v>189</v>
      </c>
      <c r="C532" s="7" t="s">
        <v>163</v>
      </c>
      <c r="D532" s="7" t="s">
        <v>39</v>
      </c>
      <c r="E532" s="7" t="s">
        <v>160</v>
      </c>
      <c r="F532" s="7" t="n">
        <v>5</v>
      </c>
      <c r="G532" s="7" t="n">
        <v>429</v>
      </c>
      <c r="H532" s="10" t="n">
        <v>0.0116550116550117</v>
      </c>
      <c r="I532" s="7" t="n">
        <v>13.51</v>
      </c>
      <c r="J532" s="7" t="s">
        <v>181</v>
      </c>
      <c r="K532" s="7" t="s">
        <v>187</v>
      </c>
      <c r="L532" s="7" t="s">
        <v>190</v>
      </c>
      <c r="M532" s="3"/>
      <c r="N532" s="3"/>
      <c r="O532" s="3"/>
      <c r="P532" s="3"/>
    </row>
    <row r="533" customFormat="false" ht="15.75" hidden="false" customHeight="true" outlineLevel="0" collapsed="false">
      <c r="A533" s="8" t="n">
        <v>45835</v>
      </c>
      <c r="B533" s="7" t="s">
        <v>191</v>
      </c>
      <c r="C533" s="7" t="s">
        <v>166</v>
      </c>
      <c r="D533" s="7" t="s">
        <v>39</v>
      </c>
      <c r="E533" s="7" t="s">
        <v>160</v>
      </c>
      <c r="F533" s="7" t="n">
        <v>21</v>
      </c>
      <c r="G533" s="7" t="n">
        <v>394</v>
      </c>
      <c r="H533" s="10" t="n">
        <v>0.0532994923857868</v>
      </c>
      <c r="I533" s="7" t="n">
        <v>3.79</v>
      </c>
      <c r="J533" s="7" t="s">
        <v>178</v>
      </c>
      <c r="K533" s="7" t="s">
        <v>192</v>
      </c>
      <c r="L533" s="7" t="s">
        <v>178</v>
      </c>
      <c r="M533" s="3"/>
      <c r="N533" s="3"/>
      <c r="O533" s="3"/>
      <c r="P533" s="3"/>
    </row>
    <row r="534" customFormat="false" ht="15.75" hidden="false" customHeight="true" outlineLevel="0" collapsed="false">
      <c r="A534" s="8" t="n">
        <v>45836</v>
      </c>
      <c r="B534" s="7" t="s">
        <v>177</v>
      </c>
      <c r="C534" s="7" t="s">
        <v>164</v>
      </c>
      <c r="D534" s="7" t="s">
        <v>39</v>
      </c>
      <c r="E534" s="7" t="s">
        <v>160</v>
      </c>
      <c r="F534" s="7" t="n">
        <v>18</v>
      </c>
      <c r="G534" s="7" t="n">
        <v>343</v>
      </c>
      <c r="H534" s="10" t="n">
        <v>0.0524781341107872</v>
      </c>
      <c r="I534" s="7" t="n">
        <v>4.18</v>
      </c>
      <c r="J534" s="7" t="s">
        <v>178</v>
      </c>
      <c r="K534" s="7" t="s">
        <v>179</v>
      </c>
      <c r="L534" s="7" t="s">
        <v>178</v>
      </c>
      <c r="M534" s="3"/>
      <c r="N534" s="3"/>
      <c r="O534" s="3"/>
      <c r="P534" s="3"/>
    </row>
    <row r="535" customFormat="false" ht="15.75" hidden="false" customHeight="true" outlineLevel="0" collapsed="false">
      <c r="A535" s="8" t="n">
        <v>45836</v>
      </c>
      <c r="B535" s="7" t="s">
        <v>180</v>
      </c>
      <c r="C535" s="7" t="s">
        <v>157</v>
      </c>
      <c r="D535" s="7" t="s">
        <v>39</v>
      </c>
      <c r="E535" s="7" t="s">
        <v>160</v>
      </c>
      <c r="F535" s="7" t="n">
        <v>16</v>
      </c>
      <c r="G535" s="7" t="n">
        <v>574</v>
      </c>
      <c r="H535" s="10" t="n">
        <v>0.0278745644599303</v>
      </c>
      <c r="I535" s="7" t="n">
        <v>8.55</v>
      </c>
      <c r="J535" s="7" t="s">
        <v>181</v>
      </c>
      <c r="K535" s="7" t="s">
        <v>182</v>
      </c>
      <c r="L535" s="7" t="s">
        <v>183</v>
      </c>
      <c r="M535" s="3"/>
      <c r="N535" s="3"/>
      <c r="O535" s="3"/>
      <c r="P535" s="3"/>
    </row>
    <row r="536" customFormat="false" ht="15.75" hidden="false" customHeight="true" outlineLevel="0" collapsed="false">
      <c r="A536" s="8" t="n">
        <v>45836</v>
      </c>
      <c r="B536" s="7" t="s">
        <v>184</v>
      </c>
      <c r="C536" s="7" t="s">
        <v>161</v>
      </c>
      <c r="D536" s="7" t="s">
        <v>39</v>
      </c>
      <c r="E536" s="7" t="s">
        <v>160</v>
      </c>
      <c r="F536" s="7" t="n">
        <v>16</v>
      </c>
      <c r="G536" s="7" t="n">
        <v>588</v>
      </c>
      <c r="H536" s="10" t="n">
        <v>0.0272108843537415</v>
      </c>
      <c r="I536" s="7" t="n">
        <v>9.56</v>
      </c>
      <c r="J536" s="7" t="s">
        <v>181</v>
      </c>
      <c r="K536" s="7" t="s">
        <v>182</v>
      </c>
      <c r="L536" s="7" t="s">
        <v>185</v>
      </c>
      <c r="M536" s="3"/>
      <c r="N536" s="3"/>
      <c r="O536" s="3"/>
      <c r="P536" s="3"/>
    </row>
    <row r="537" customFormat="false" ht="15.75" hidden="false" customHeight="true" outlineLevel="0" collapsed="false">
      <c r="A537" s="8" t="n">
        <v>45836</v>
      </c>
      <c r="B537" s="7" t="s">
        <v>186</v>
      </c>
      <c r="C537" s="7" t="s">
        <v>162</v>
      </c>
      <c r="D537" s="7" t="s">
        <v>39</v>
      </c>
      <c r="E537" s="7" t="s">
        <v>160</v>
      </c>
      <c r="F537" s="7" t="n">
        <v>6</v>
      </c>
      <c r="G537" s="7" t="n">
        <v>475</v>
      </c>
      <c r="H537" s="10" t="n">
        <v>0.0126315789473684</v>
      </c>
      <c r="I537" s="7" t="n">
        <v>13.43</v>
      </c>
      <c r="J537" s="7" t="s">
        <v>181</v>
      </c>
      <c r="K537" s="7" t="s">
        <v>187</v>
      </c>
      <c r="L537" s="7" t="s">
        <v>188</v>
      </c>
      <c r="M537" s="3"/>
      <c r="N537" s="3"/>
      <c r="O537" s="3"/>
      <c r="P537" s="3"/>
    </row>
    <row r="538" customFormat="false" ht="15.75" hidden="false" customHeight="true" outlineLevel="0" collapsed="false">
      <c r="A538" s="8" t="n">
        <v>45836</v>
      </c>
      <c r="B538" s="7" t="s">
        <v>189</v>
      </c>
      <c r="C538" s="7" t="s">
        <v>163</v>
      </c>
      <c r="D538" s="7" t="s">
        <v>39</v>
      </c>
      <c r="E538" s="7" t="s">
        <v>160</v>
      </c>
      <c r="F538" s="7" t="n">
        <v>5</v>
      </c>
      <c r="G538" s="7" t="n">
        <v>434</v>
      </c>
      <c r="H538" s="10" t="n">
        <v>0.0115207373271889</v>
      </c>
      <c r="I538" s="7" t="n">
        <v>13.97</v>
      </c>
      <c r="J538" s="7" t="s">
        <v>181</v>
      </c>
      <c r="K538" s="7" t="s">
        <v>187</v>
      </c>
      <c r="L538" s="7" t="s">
        <v>190</v>
      </c>
      <c r="M538" s="3"/>
      <c r="N538" s="3"/>
      <c r="O538" s="3"/>
      <c r="P538" s="3"/>
    </row>
    <row r="539" customFormat="false" ht="15.75" hidden="false" customHeight="true" outlineLevel="0" collapsed="false">
      <c r="A539" s="8" t="n">
        <v>45836</v>
      </c>
      <c r="B539" s="7" t="s">
        <v>191</v>
      </c>
      <c r="C539" s="7" t="s">
        <v>166</v>
      </c>
      <c r="D539" s="7" t="s">
        <v>39</v>
      </c>
      <c r="E539" s="7" t="s">
        <v>165</v>
      </c>
      <c r="F539" s="7" t="n">
        <v>17</v>
      </c>
      <c r="G539" s="7" t="n">
        <v>325</v>
      </c>
      <c r="H539" s="10" t="n">
        <v>0.0523076923076923</v>
      </c>
      <c r="I539" s="7" t="n">
        <v>3.75</v>
      </c>
      <c r="J539" s="7" t="s">
        <v>178</v>
      </c>
      <c r="K539" s="7" t="s">
        <v>192</v>
      </c>
      <c r="L539" s="7" t="s">
        <v>178</v>
      </c>
      <c r="M539" s="3"/>
      <c r="N539" s="3"/>
      <c r="O539" s="3"/>
      <c r="P539" s="3"/>
    </row>
    <row r="540" customFormat="false" ht="15.75" hidden="false" customHeight="true" outlineLevel="0" collapsed="false">
      <c r="A540" s="8" t="n">
        <v>45837</v>
      </c>
      <c r="B540" s="7" t="s">
        <v>177</v>
      </c>
      <c r="C540" s="7" t="s">
        <v>164</v>
      </c>
      <c r="D540" s="7" t="s">
        <v>39</v>
      </c>
      <c r="E540" s="7" t="s">
        <v>165</v>
      </c>
      <c r="F540" s="7" t="n">
        <v>23</v>
      </c>
      <c r="G540" s="7" t="n">
        <v>429</v>
      </c>
      <c r="H540" s="10" t="n">
        <v>0.0536130536130536</v>
      </c>
      <c r="I540" s="7" t="n">
        <v>3.32</v>
      </c>
      <c r="J540" s="7" t="s">
        <v>178</v>
      </c>
      <c r="K540" s="7" t="s">
        <v>179</v>
      </c>
      <c r="L540" s="7" t="s">
        <v>178</v>
      </c>
      <c r="M540" s="3"/>
      <c r="N540" s="3"/>
      <c r="O540" s="3"/>
      <c r="P540" s="3"/>
    </row>
    <row r="541" customFormat="false" ht="15.75" hidden="false" customHeight="true" outlineLevel="0" collapsed="false">
      <c r="A541" s="8" t="n">
        <v>45837</v>
      </c>
      <c r="B541" s="7" t="s">
        <v>180</v>
      </c>
      <c r="C541" s="7" t="s">
        <v>157</v>
      </c>
      <c r="D541" s="7" t="s">
        <v>39</v>
      </c>
      <c r="E541" s="7" t="s">
        <v>165</v>
      </c>
      <c r="F541" s="7" t="n">
        <v>18</v>
      </c>
      <c r="G541" s="7" t="n">
        <v>653</v>
      </c>
      <c r="H541" s="10" t="n">
        <v>0.0275650842266463</v>
      </c>
      <c r="I541" s="7" t="n">
        <v>9.18</v>
      </c>
      <c r="J541" s="7" t="s">
        <v>181</v>
      </c>
      <c r="K541" s="7" t="s">
        <v>182</v>
      </c>
      <c r="L541" s="7" t="s">
        <v>183</v>
      </c>
      <c r="M541" s="3"/>
      <c r="N541" s="3"/>
      <c r="O541" s="3"/>
      <c r="P541" s="3"/>
    </row>
    <row r="542" customFormat="false" ht="15.75" hidden="false" customHeight="true" outlineLevel="0" collapsed="false">
      <c r="A542" s="8" t="n">
        <v>45837</v>
      </c>
      <c r="B542" s="7" t="s">
        <v>184</v>
      </c>
      <c r="C542" s="7" t="s">
        <v>161</v>
      </c>
      <c r="D542" s="7" t="s">
        <v>39</v>
      </c>
      <c r="E542" s="7" t="s">
        <v>165</v>
      </c>
      <c r="F542" s="7" t="n">
        <v>17</v>
      </c>
      <c r="G542" s="7" t="n">
        <v>637</v>
      </c>
      <c r="H542" s="10" t="n">
        <v>0.0266875981161696</v>
      </c>
      <c r="I542" s="7" t="n">
        <v>9.51</v>
      </c>
      <c r="J542" s="7" t="s">
        <v>181</v>
      </c>
      <c r="K542" s="7" t="s">
        <v>182</v>
      </c>
      <c r="L542" s="7" t="s">
        <v>185</v>
      </c>
      <c r="M542" s="3"/>
      <c r="N542" s="3"/>
      <c r="O542" s="3"/>
      <c r="P542" s="3"/>
    </row>
    <row r="543" customFormat="false" ht="15.75" hidden="false" customHeight="true" outlineLevel="0" collapsed="false">
      <c r="A543" s="8" t="n">
        <v>45837</v>
      </c>
      <c r="B543" s="7" t="s">
        <v>186</v>
      </c>
      <c r="C543" s="7" t="s">
        <v>162</v>
      </c>
      <c r="D543" s="7" t="s">
        <v>39</v>
      </c>
      <c r="E543" s="7" t="s">
        <v>160</v>
      </c>
      <c r="F543" s="7" t="n">
        <v>6</v>
      </c>
      <c r="G543" s="7" t="n">
        <v>476</v>
      </c>
      <c r="H543" s="10" t="n">
        <v>0.0126050420168067</v>
      </c>
      <c r="I543" s="7" t="n">
        <v>13.62</v>
      </c>
      <c r="J543" s="7" t="s">
        <v>181</v>
      </c>
      <c r="K543" s="7" t="s">
        <v>187</v>
      </c>
      <c r="L543" s="7" t="s">
        <v>188</v>
      </c>
      <c r="M543" s="3"/>
      <c r="N543" s="3"/>
      <c r="O543" s="3"/>
      <c r="P543" s="3"/>
    </row>
    <row r="544" customFormat="false" ht="15.75" hidden="false" customHeight="true" outlineLevel="0" collapsed="false">
      <c r="A544" s="8" t="n">
        <v>45837</v>
      </c>
      <c r="B544" s="7" t="s">
        <v>189</v>
      </c>
      <c r="C544" s="7" t="s">
        <v>163</v>
      </c>
      <c r="D544" s="7" t="s">
        <v>39</v>
      </c>
      <c r="E544" s="7" t="s">
        <v>160</v>
      </c>
      <c r="F544" s="7" t="n">
        <v>7</v>
      </c>
      <c r="G544" s="7" t="n">
        <v>543</v>
      </c>
      <c r="H544" s="10" t="n">
        <v>0.0128913443830571</v>
      </c>
      <c r="I544" s="7" t="n">
        <v>13.72</v>
      </c>
      <c r="J544" s="7" t="s">
        <v>181</v>
      </c>
      <c r="K544" s="7" t="s">
        <v>187</v>
      </c>
      <c r="L544" s="7" t="s">
        <v>190</v>
      </c>
      <c r="M544" s="3"/>
      <c r="N544" s="3"/>
      <c r="O544" s="3"/>
      <c r="P544" s="3"/>
    </row>
    <row r="545" customFormat="false" ht="15.75" hidden="false" customHeight="true" outlineLevel="0" collapsed="false">
      <c r="A545" s="8" t="n">
        <v>45837</v>
      </c>
      <c r="B545" s="7" t="s">
        <v>191</v>
      </c>
      <c r="C545" s="7" t="s">
        <v>166</v>
      </c>
      <c r="D545" s="7" t="s">
        <v>39</v>
      </c>
      <c r="E545" s="7" t="s">
        <v>160</v>
      </c>
      <c r="F545" s="7" t="n">
        <v>19</v>
      </c>
      <c r="G545" s="7" t="n">
        <v>353</v>
      </c>
      <c r="H545" s="10" t="n">
        <v>0.0538243626062323</v>
      </c>
      <c r="I545" s="7" t="n">
        <v>3.02</v>
      </c>
      <c r="J545" s="7" t="s">
        <v>178</v>
      </c>
      <c r="K545" s="7" t="s">
        <v>192</v>
      </c>
      <c r="L545" s="7" t="s">
        <v>178</v>
      </c>
      <c r="M545" s="3"/>
      <c r="N545" s="3"/>
      <c r="O545" s="3"/>
      <c r="P545" s="3"/>
    </row>
    <row r="546" customFormat="false" ht="15.75" hidden="false" customHeight="true" outlineLevel="0" collapsed="false">
      <c r="A546" s="8" t="n">
        <v>45838</v>
      </c>
      <c r="B546" s="7" t="s">
        <v>177</v>
      </c>
      <c r="C546" s="7" t="s">
        <v>164</v>
      </c>
      <c r="D546" s="7" t="s">
        <v>39</v>
      </c>
      <c r="E546" s="7" t="s">
        <v>160</v>
      </c>
      <c r="F546" s="7" t="n">
        <v>17</v>
      </c>
      <c r="G546" s="7" t="n">
        <v>325</v>
      </c>
      <c r="H546" s="10" t="n">
        <v>0.0523076923076923</v>
      </c>
      <c r="I546" s="7" t="n">
        <v>4.11</v>
      </c>
      <c r="J546" s="7" t="s">
        <v>178</v>
      </c>
      <c r="K546" s="7" t="s">
        <v>179</v>
      </c>
      <c r="L546" s="7" t="s">
        <v>178</v>
      </c>
      <c r="M546" s="3"/>
      <c r="N546" s="3"/>
      <c r="O546" s="3"/>
      <c r="P546" s="3"/>
    </row>
    <row r="547" customFormat="false" ht="15.75" hidden="false" customHeight="true" outlineLevel="0" collapsed="false">
      <c r="A547" s="8" t="n">
        <v>45838</v>
      </c>
      <c r="B547" s="7" t="s">
        <v>180</v>
      </c>
      <c r="C547" s="7" t="s">
        <v>157</v>
      </c>
      <c r="D547" s="7" t="s">
        <v>39</v>
      </c>
      <c r="E547" s="7" t="s">
        <v>160</v>
      </c>
      <c r="F547" s="7" t="n">
        <v>15</v>
      </c>
      <c r="G547" s="7" t="n">
        <v>566</v>
      </c>
      <c r="H547" s="10" t="n">
        <v>0.0265017667844523</v>
      </c>
      <c r="I547" s="7" t="n">
        <v>8.54</v>
      </c>
      <c r="J547" s="7" t="s">
        <v>181</v>
      </c>
      <c r="K547" s="7" t="s">
        <v>182</v>
      </c>
      <c r="L547" s="7" t="s">
        <v>183</v>
      </c>
      <c r="M547" s="3"/>
      <c r="N547" s="3"/>
      <c r="O547" s="3"/>
      <c r="P547" s="3"/>
    </row>
    <row r="548" customFormat="false" ht="15.75" hidden="false" customHeight="true" outlineLevel="0" collapsed="false">
      <c r="A548" s="8" t="n">
        <v>45838</v>
      </c>
      <c r="B548" s="7" t="s">
        <v>184</v>
      </c>
      <c r="C548" s="7" t="s">
        <v>161</v>
      </c>
      <c r="D548" s="7" t="s">
        <v>39</v>
      </c>
      <c r="E548" s="7" t="s">
        <v>160</v>
      </c>
      <c r="F548" s="7" t="n">
        <v>19</v>
      </c>
      <c r="G548" s="7" t="n">
        <v>687</v>
      </c>
      <c r="H548" s="10" t="n">
        <v>0.0276564774381368</v>
      </c>
      <c r="I548" s="7" t="n">
        <v>8.65</v>
      </c>
      <c r="J548" s="7" t="s">
        <v>181</v>
      </c>
      <c r="K548" s="7" t="s">
        <v>182</v>
      </c>
      <c r="L548" s="7" t="s">
        <v>185</v>
      </c>
      <c r="M548" s="3"/>
      <c r="N548" s="3"/>
      <c r="O548" s="3"/>
      <c r="P548" s="3"/>
    </row>
    <row r="549" customFormat="false" ht="15.75" hidden="false" customHeight="true" outlineLevel="0" collapsed="false">
      <c r="A549" s="8" t="n">
        <v>45838</v>
      </c>
      <c r="B549" s="7" t="s">
        <v>186</v>
      </c>
      <c r="C549" s="7" t="s">
        <v>162</v>
      </c>
      <c r="D549" s="7" t="s">
        <v>39</v>
      </c>
      <c r="E549" s="7" t="s">
        <v>160</v>
      </c>
      <c r="F549" s="7" t="n">
        <v>6</v>
      </c>
      <c r="G549" s="7" t="n">
        <v>505</v>
      </c>
      <c r="H549" s="10" t="n">
        <v>0.0118811881188119</v>
      </c>
      <c r="I549" s="7" t="n">
        <v>13.21</v>
      </c>
      <c r="J549" s="7" t="s">
        <v>181</v>
      </c>
      <c r="K549" s="7" t="s">
        <v>187</v>
      </c>
      <c r="L549" s="7" t="s">
        <v>188</v>
      </c>
      <c r="M549" s="3"/>
      <c r="N549" s="3"/>
      <c r="O549" s="3"/>
      <c r="P549" s="3"/>
    </row>
    <row r="550" customFormat="false" ht="15.75" hidden="false" customHeight="true" outlineLevel="0" collapsed="false">
      <c r="A550" s="8" t="n">
        <v>45838</v>
      </c>
      <c r="B550" s="7" t="s">
        <v>189</v>
      </c>
      <c r="C550" s="7" t="s">
        <v>163</v>
      </c>
      <c r="D550" s="7" t="s">
        <v>39</v>
      </c>
      <c r="E550" s="7" t="s">
        <v>165</v>
      </c>
      <c r="F550" s="7" t="n">
        <v>5</v>
      </c>
      <c r="G550" s="7" t="n">
        <v>432</v>
      </c>
      <c r="H550" s="10" t="n">
        <v>0.0115740740740741</v>
      </c>
      <c r="I550" s="7" t="n">
        <v>13.1</v>
      </c>
      <c r="J550" s="7" t="s">
        <v>181</v>
      </c>
      <c r="K550" s="7" t="s">
        <v>187</v>
      </c>
      <c r="L550" s="7" t="s">
        <v>190</v>
      </c>
      <c r="M550" s="3"/>
      <c r="N550" s="3"/>
      <c r="O550" s="3"/>
      <c r="P550" s="3"/>
    </row>
    <row r="551" customFormat="false" ht="15.75" hidden="false" customHeight="true" outlineLevel="0" collapsed="false">
      <c r="A551" s="8" t="n">
        <v>45838</v>
      </c>
      <c r="B551" s="7" t="s">
        <v>191</v>
      </c>
      <c r="C551" s="7" t="s">
        <v>166</v>
      </c>
      <c r="D551" s="7" t="s">
        <v>39</v>
      </c>
      <c r="E551" s="7" t="s">
        <v>160</v>
      </c>
      <c r="F551" s="7" t="n">
        <v>24</v>
      </c>
      <c r="G551" s="7" t="n">
        <v>451</v>
      </c>
      <c r="H551" s="10" t="n">
        <v>0.0532150776053215</v>
      </c>
      <c r="I551" s="7" t="n">
        <v>3.17</v>
      </c>
      <c r="J551" s="7" t="s">
        <v>178</v>
      </c>
      <c r="K551" s="7" t="s">
        <v>192</v>
      </c>
      <c r="L551" s="7" t="s">
        <v>178</v>
      </c>
      <c r="M551" s="3"/>
      <c r="N551" s="3"/>
      <c r="O551" s="3"/>
      <c r="P551" s="3"/>
    </row>
    <row r="552" customFormat="false" ht="15.7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</row>
    <row r="553" customFormat="false" ht="15.75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</row>
    <row r="554" customFormat="false" ht="15.7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</row>
    <row r="555" customFormat="false" ht="15.75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</row>
    <row r="556" customFormat="false" ht="15.7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</row>
    <row r="557" customFormat="false" ht="15.75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</row>
    <row r="558" customFormat="false" ht="15.7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</row>
    <row r="559" customFormat="false" ht="15.75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</row>
    <row r="560" customFormat="false" ht="15.7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</row>
    <row r="561" customFormat="false" ht="15.75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</row>
    <row r="562" customFormat="false" ht="15.7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</row>
    <row r="563" customFormat="false" ht="15.75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</row>
    <row r="564" customFormat="false" ht="15.7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</row>
    <row r="565" customFormat="false" ht="15.75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</row>
    <row r="566" customFormat="false" ht="15.7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</row>
    <row r="567" customFormat="false" ht="15.75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</row>
    <row r="568" customFormat="false" ht="15.7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</row>
    <row r="569" customFormat="false" ht="15.75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</row>
    <row r="570" customFormat="false" ht="15.7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</row>
    <row r="571" customFormat="false" ht="15.7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</row>
    <row r="572" customFormat="false" ht="15.7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</row>
    <row r="573" customFormat="false" ht="15.7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</row>
    <row r="574" customFormat="false" ht="15.7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</row>
    <row r="575" customFormat="false" ht="15.7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</row>
    <row r="576" customFormat="false" ht="15.7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</row>
    <row r="577" customFormat="false" ht="15.7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</row>
    <row r="578" customFormat="false" ht="15.7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</row>
    <row r="579" customFormat="false" ht="15.7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</row>
    <row r="580" customFormat="false" ht="15.7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</row>
    <row r="581" customFormat="false" ht="15.7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</row>
    <row r="582" customFormat="false" ht="15.7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</row>
    <row r="583" customFormat="false" ht="15.75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</row>
    <row r="584" customFormat="false" ht="15.7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</row>
    <row r="585" customFormat="false" ht="15.75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</row>
    <row r="586" customFormat="false" ht="15.7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</row>
    <row r="587" customFormat="false" ht="15.75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</row>
    <row r="588" customFormat="false" ht="15.7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</row>
    <row r="589" customFormat="false" ht="15.75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</row>
    <row r="590" customFormat="false" ht="15.7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</row>
    <row r="591" customFormat="false" ht="15.7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</row>
    <row r="592" customFormat="false" ht="15.7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</row>
    <row r="593" customFormat="false" ht="15.75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</row>
    <row r="594" customFormat="false" ht="15.7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</row>
    <row r="595" customFormat="false" ht="15.75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</row>
    <row r="596" customFormat="false" ht="15.7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</row>
    <row r="597" customFormat="false" ht="15.75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</row>
    <row r="598" customFormat="false" ht="15.7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</row>
    <row r="599" customFormat="false" ht="15.75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</row>
    <row r="600" customFormat="false" ht="15.7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</row>
    <row r="601" customFormat="false" ht="15.75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</row>
    <row r="602" customFormat="false" ht="15.7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</row>
    <row r="603" customFormat="false" ht="15.75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</row>
    <row r="604" customFormat="false" ht="15.7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</row>
    <row r="605" customFormat="false" ht="15.75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</row>
    <row r="606" customFormat="false" ht="15.7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</row>
    <row r="607" customFormat="false" ht="15.75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</row>
    <row r="608" customFormat="false" ht="15.7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</row>
    <row r="609" customFormat="false" ht="15.75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</row>
    <row r="610" customFormat="false" ht="15.7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</row>
    <row r="611" customFormat="false" ht="15.75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</row>
    <row r="612" customFormat="false" ht="15.7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</row>
    <row r="613" customFormat="false" ht="15.75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</row>
    <row r="614" customFormat="false" ht="15.7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</row>
    <row r="615" customFormat="false" ht="15.75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</row>
    <row r="616" customFormat="false" ht="15.7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</row>
    <row r="617" customFormat="false" ht="15.75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</row>
    <row r="618" customFormat="false" ht="15.7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</row>
    <row r="619" customFormat="false" ht="15.7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</row>
    <row r="620" customFormat="false" ht="15.7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</row>
    <row r="621" customFormat="false" ht="15.7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</row>
    <row r="622" customFormat="false" ht="15.7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</row>
    <row r="623" customFormat="false" ht="15.7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</row>
    <row r="624" customFormat="false" ht="15.7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</row>
    <row r="625" customFormat="false" ht="15.7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</row>
    <row r="626" customFormat="false" ht="15.7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</row>
    <row r="627" customFormat="false" ht="15.7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</row>
    <row r="628" customFormat="false" ht="15.7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</row>
    <row r="629" customFormat="false" ht="15.7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</row>
    <row r="630" customFormat="false" ht="15.7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</row>
    <row r="631" customFormat="false" ht="15.7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</row>
    <row r="632" customFormat="false" ht="15.7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</row>
    <row r="633" customFormat="false" ht="15.75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</row>
    <row r="634" customFormat="false" ht="15.7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</row>
    <row r="635" customFormat="false" ht="15.75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</row>
    <row r="636" customFormat="false" ht="15.7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</row>
    <row r="637" customFormat="false" ht="15.75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</row>
    <row r="638" customFormat="false" ht="15.7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</row>
    <row r="639" customFormat="false" ht="15.75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</row>
    <row r="640" customFormat="false" ht="15.7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</row>
    <row r="641" customFormat="false" ht="15.75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</row>
    <row r="642" customFormat="false" ht="15.7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</row>
    <row r="643" customFormat="false" ht="15.75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</row>
    <row r="644" customFormat="false" ht="15.7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</row>
    <row r="645" customFormat="false" ht="15.75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</row>
    <row r="646" customFormat="false" ht="15.7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</row>
    <row r="647" customFormat="false" ht="15.75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</row>
    <row r="648" customFormat="false" ht="15.7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</row>
    <row r="649" customFormat="false" ht="15.7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</row>
    <row r="650" customFormat="false" ht="15.7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</row>
    <row r="651" customFormat="false" ht="15.7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</row>
    <row r="652" customFormat="false" ht="15.7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</row>
    <row r="653" customFormat="false" ht="15.7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</row>
    <row r="654" customFormat="false" ht="15.7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</row>
    <row r="655" customFormat="false" ht="15.7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</row>
    <row r="656" customFormat="false" ht="15.7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</row>
    <row r="657" customFormat="false" ht="15.75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</row>
    <row r="658" customFormat="false" ht="15.7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</row>
    <row r="659" customFormat="false" ht="15.75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</row>
    <row r="660" customFormat="false" ht="15.7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</row>
    <row r="661" customFormat="false" ht="15.7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</row>
    <row r="662" customFormat="false" ht="15.7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</row>
    <row r="663" customFormat="false" ht="15.75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</row>
    <row r="664" customFormat="false" ht="15.7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</row>
    <row r="665" customFormat="false" ht="15.75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</row>
    <row r="666" customFormat="false" ht="15.7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</row>
    <row r="667" customFormat="false" ht="15.75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</row>
    <row r="668" customFormat="false" ht="15.7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</row>
    <row r="669" customFormat="false" ht="15.75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</row>
    <row r="670" customFormat="false" ht="15.7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</row>
    <row r="671" customFormat="false" ht="15.75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</row>
    <row r="672" customFormat="false" ht="15.7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</row>
    <row r="673" customFormat="false" ht="15.75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</row>
    <row r="674" customFormat="false" ht="15.7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</row>
    <row r="675" customFormat="false" ht="15.75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</row>
    <row r="676" customFormat="false" ht="15.7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</row>
    <row r="677" customFormat="false" ht="15.75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</row>
    <row r="678" customFormat="false" ht="15.7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</row>
    <row r="679" customFormat="false" ht="15.75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</row>
    <row r="680" customFormat="false" ht="15.7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</row>
    <row r="681" customFormat="false" ht="15.7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</row>
    <row r="682" customFormat="false" ht="15.7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</row>
    <row r="683" customFormat="false" ht="15.7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</row>
    <row r="684" customFormat="false" ht="15.7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</row>
    <row r="685" customFormat="false" ht="15.7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</row>
    <row r="686" customFormat="false" ht="15.7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</row>
    <row r="687" customFormat="false" ht="15.75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</row>
    <row r="688" customFormat="false" ht="15.7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</row>
    <row r="689" customFormat="false" ht="15.75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</row>
    <row r="690" customFormat="false" ht="15.7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</row>
    <row r="691" customFormat="false" ht="15.75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</row>
    <row r="692" customFormat="false" ht="15.7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</row>
    <row r="693" customFormat="false" ht="15.75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</row>
    <row r="694" customFormat="false" ht="15.7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</row>
    <row r="695" customFormat="false" ht="15.75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</row>
    <row r="696" customFormat="false" ht="15.7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</row>
    <row r="697" customFormat="false" ht="15.75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</row>
    <row r="698" customFormat="false" ht="15.7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</row>
    <row r="699" customFormat="false" ht="15.7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</row>
    <row r="700" customFormat="false" ht="15.7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</row>
    <row r="701" customFormat="false" ht="15.7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</row>
    <row r="702" customFormat="false" ht="15.7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</row>
    <row r="703" customFormat="false" ht="15.7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</row>
    <row r="704" customFormat="false" ht="15.7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</row>
    <row r="705" customFormat="false" ht="15.7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</row>
    <row r="706" customFormat="false" ht="15.7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</row>
    <row r="707" customFormat="false" ht="15.7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</row>
    <row r="708" customFormat="false" ht="15.7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</row>
    <row r="709" customFormat="false" ht="15.7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</row>
    <row r="710" customFormat="false" ht="15.7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</row>
    <row r="711" customFormat="false" ht="15.75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</row>
    <row r="712" customFormat="false" ht="15.7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</row>
    <row r="713" customFormat="false" ht="15.7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</row>
    <row r="714" customFormat="false" ht="15.7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</row>
    <row r="715" customFormat="false" ht="15.75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</row>
    <row r="716" customFormat="false" ht="15.7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</row>
    <row r="717" customFormat="false" ht="15.75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</row>
    <row r="718" customFormat="false" ht="15.7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</row>
    <row r="719" customFormat="false" ht="15.75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</row>
    <row r="720" customFormat="false" ht="15.7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</row>
    <row r="721" customFormat="false" ht="15.75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</row>
    <row r="722" customFormat="false" ht="15.7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</row>
    <row r="723" customFormat="false" ht="15.75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</row>
    <row r="724" customFormat="false" ht="15.7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</row>
    <row r="725" customFormat="false" ht="15.7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</row>
    <row r="726" customFormat="false" ht="15.7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</row>
    <row r="727" customFormat="false" ht="15.7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</row>
    <row r="728" customFormat="false" ht="15.7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</row>
    <row r="729" customFormat="false" ht="15.7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</row>
    <row r="730" customFormat="false" ht="15.7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</row>
    <row r="731" customFormat="false" ht="15.7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</row>
    <row r="732" customFormat="false" ht="15.7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</row>
    <row r="733" customFormat="false" ht="15.75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</row>
    <row r="734" customFormat="false" ht="15.7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</row>
    <row r="735" customFormat="false" ht="15.75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</row>
    <row r="736" customFormat="false" ht="15.7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</row>
    <row r="737" customFormat="false" ht="15.75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</row>
    <row r="738" customFormat="false" ht="15.7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</row>
    <row r="739" customFormat="false" ht="15.7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</row>
    <row r="740" customFormat="false" ht="15.7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</row>
    <row r="741" customFormat="false" ht="15.75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</row>
    <row r="742" customFormat="false" ht="15.7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</row>
    <row r="743" customFormat="false" ht="15.75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</row>
    <row r="744" customFormat="false" ht="15.7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</row>
    <row r="745" customFormat="false" ht="15.75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</row>
    <row r="746" customFormat="false" ht="15.7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</row>
    <row r="747" customFormat="false" ht="15.75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</row>
    <row r="748" customFormat="false" ht="15.7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</row>
    <row r="749" customFormat="false" ht="15.75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</row>
    <row r="750" customFormat="false" ht="15.7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</row>
    <row r="751" customFormat="false" ht="15.75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</row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">
    <mergeCell ref="A1:O2"/>
    <mergeCell ref="A3:O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2" min="1" style="1" width="14"/>
    <col collapsed="false" customWidth="true" hidden="false" outlineLevel="0" max="3" min="3" style="1" width="24"/>
    <col collapsed="false" customWidth="true" hidden="false" outlineLevel="0" max="5" min="4" style="1" width="12"/>
    <col collapsed="false" customWidth="true" hidden="false" outlineLevel="0" max="6" min="6" style="1" width="14"/>
    <col collapsed="false" customWidth="true" hidden="false" outlineLevel="0" max="7" min="7" style="1" width="16"/>
    <col collapsed="false" customWidth="true" hidden="false" outlineLevel="0" max="8" min="8" style="1" width="22"/>
    <col collapsed="false" customWidth="true" hidden="false" outlineLevel="0" max="9" min="9" style="1" width="18"/>
    <col collapsed="false" customWidth="true" hidden="false" outlineLevel="0" max="11" min="10" style="1" width="12"/>
    <col collapsed="false" customWidth="true" hidden="false" outlineLevel="0" max="12" min="12" style="1" width="20"/>
    <col collapsed="false" customWidth="true" hidden="false" outlineLevel="0" max="13" min="13" style="1" width="16"/>
    <col collapsed="false" customWidth="true" hidden="false" outlineLevel="0" max="26" min="14" style="1" width="8.63"/>
  </cols>
  <sheetData>
    <row r="1" customFormat="false" ht="15" hidden="false" customHeight="true" outlineLevel="0" collapsed="false">
      <c r="A1" s="2" t="s">
        <v>193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3"/>
    </row>
    <row r="2" customFormat="false" ht="1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3"/>
    </row>
    <row r="3" customFormat="false" ht="15" hidden="false" customHeight="true" outlineLevel="0" collapsed="false">
      <c r="A3" s="4" t="s">
        <v>194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3"/>
      <c r="P3" s="3"/>
    </row>
    <row r="4" customFormat="false" ht="15" hidden="false" customHeight="tru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customFormat="false" ht="23.25" hidden="false" customHeight="true" outlineLevel="0" collapsed="false">
      <c r="A5" s="21" t="s">
        <v>195</v>
      </c>
      <c r="B5" s="21" t="s">
        <v>196</v>
      </c>
      <c r="C5" s="21" t="s">
        <v>147</v>
      </c>
      <c r="D5" s="21" t="s">
        <v>148</v>
      </c>
      <c r="E5" s="21" t="s">
        <v>95</v>
      </c>
      <c r="F5" s="21" t="s">
        <v>197</v>
      </c>
      <c r="G5" s="21" t="s">
        <v>198</v>
      </c>
      <c r="H5" s="21" t="s">
        <v>199</v>
      </c>
      <c r="I5" s="21" t="s">
        <v>200</v>
      </c>
      <c r="J5" s="21" t="s">
        <v>201</v>
      </c>
      <c r="K5" s="21" t="s">
        <v>202</v>
      </c>
      <c r="L5" s="21" t="s">
        <v>203</v>
      </c>
      <c r="M5" s="21" t="s">
        <v>81</v>
      </c>
      <c r="N5" s="3"/>
      <c r="O5" s="3"/>
      <c r="P5" s="3"/>
    </row>
    <row r="6" customFormat="false" ht="15" hidden="false" customHeight="true" outlineLevel="0" collapsed="false">
      <c r="A6" s="7" t="s">
        <v>204</v>
      </c>
      <c r="B6" s="8" t="n">
        <v>46163</v>
      </c>
      <c r="C6" s="7" t="s">
        <v>157</v>
      </c>
      <c r="D6" s="7" t="s">
        <v>158</v>
      </c>
      <c r="E6" s="7" t="s">
        <v>159</v>
      </c>
      <c r="F6" s="7"/>
      <c r="G6" s="7" t="s">
        <v>16</v>
      </c>
      <c r="H6" s="7" t="s">
        <v>183</v>
      </c>
      <c r="I6" s="7" t="s">
        <v>93</v>
      </c>
      <c r="J6" s="7" t="s">
        <v>50</v>
      </c>
      <c r="K6" s="7" t="s">
        <v>205</v>
      </c>
      <c r="L6" s="22" t="n">
        <v>24511</v>
      </c>
      <c r="M6" s="7" t="s">
        <v>206</v>
      </c>
      <c r="N6" s="3"/>
      <c r="O6" s="3"/>
      <c r="P6" s="3"/>
    </row>
    <row r="7" customFormat="false" ht="15" hidden="false" customHeight="true" outlineLevel="0" collapsed="false">
      <c r="A7" s="7" t="s">
        <v>207</v>
      </c>
      <c r="B7" s="8" t="n">
        <v>46148</v>
      </c>
      <c r="C7" s="7" t="s">
        <v>163</v>
      </c>
      <c r="D7" s="7" t="s">
        <v>158</v>
      </c>
      <c r="E7" s="7" t="s">
        <v>159</v>
      </c>
      <c r="F7" s="7"/>
      <c r="G7" s="7" t="s">
        <v>16</v>
      </c>
      <c r="H7" s="7" t="s">
        <v>208</v>
      </c>
      <c r="I7" s="7" t="s">
        <v>93</v>
      </c>
      <c r="J7" s="7" t="s">
        <v>50</v>
      </c>
      <c r="K7" s="7" t="s">
        <v>205</v>
      </c>
      <c r="L7" s="22" t="n">
        <v>18386</v>
      </c>
      <c r="M7" s="7" t="s">
        <v>209</v>
      </c>
      <c r="N7" s="3"/>
      <c r="O7" s="3"/>
      <c r="P7" s="3"/>
    </row>
    <row r="8" customFormat="false" ht="15" hidden="false" customHeight="true" outlineLevel="0" collapsed="false">
      <c r="A8" s="7" t="s">
        <v>210</v>
      </c>
      <c r="B8" s="8" t="n">
        <v>46171</v>
      </c>
      <c r="C8" s="7" t="s">
        <v>162</v>
      </c>
      <c r="D8" s="7" t="s">
        <v>158</v>
      </c>
      <c r="E8" s="7" t="s">
        <v>159</v>
      </c>
      <c r="F8" s="7"/>
      <c r="G8" s="7" t="s">
        <v>16</v>
      </c>
      <c r="H8" s="7" t="s">
        <v>211</v>
      </c>
      <c r="I8" s="7" t="s">
        <v>88</v>
      </c>
      <c r="J8" s="7" t="s">
        <v>205</v>
      </c>
      <c r="K8" s="7" t="s">
        <v>205</v>
      </c>
      <c r="L8" s="22" t="n">
        <v>0</v>
      </c>
      <c r="M8" s="7" t="s">
        <v>209</v>
      </c>
      <c r="N8" s="3"/>
      <c r="O8" s="3"/>
      <c r="P8" s="3"/>
    </row>
    <row r="9" customFormat="false" ht="15" hidden="false" customHeight="true" outlineLevel="0" collapsed="false">
      <c r="A9" s="7" t="s">
        <v>212</v>
      </c>
      <c r="B9" s="8" t="n">
        <v>46163</v>
      </c>
      <c r="C9" s="7" t="s">
        <v>157</v>
      </c>
      <c r="D9" s="7" t="s">
        <v>158</v>
      </c>
      <c r="E9" s="7" t="s">
        <v>159</v>
      </c>
      <c r="F9" s="7"/>
      <c r="G9" s="7" t="s">
        <v>16</v>
      </c>
      <c r="H9" s="7" t="s">
        <v>183</v>
      </c>
      <c r="I9" s="7" t="s">
        <v>93</v>
      </c>
      <c r="J9" s="7" t="s">
        <v>50</v>
      </c>
      <c r="K9" s="7" t="s">
        <v>205</v>
      </c>
      <c r="L9" s="22" t="n">
        <v>11916</v>
      </c>
      <c r="M9" s="7" t="s">
        <v>206</v>
      </c>
      <c r="N9" s="3"/>
      <c r="O9" s="3"/>
      <c r="P9" s="3"/>
    </row>
    <row r="10" customFormat="false" ht="15" hidden="false" customHeight="true" outlineLevel="0" collapsed="false">
      <c r="A10" s="7" t="s">
        <v>213</v>
      </c>
      <c r="B10" s="8" t="n">
        <v>46159</v>
      </c>
      <c r="C10" s="7" t="s">
        <v>163</v>
      </c>
      <c r="D10" s="7" t="s">
        <v>158</v>
      </c>
      <c r="E10" s="7" t="s">
        <v>159</v>
      </c>
      <c r="F10" s="7"/>
      <c r="G10" s="7" t="s">
        <v>16</v>
      </c>
      <c r="H10" s="7" t="s">
        <v>208</v>
      </c>
      <c r="I10" s="7" t="s">
        <v>88</v>
      </c>
      <c r="J10" s="7" t="s">
        <v>205</v>
      </c>
      <c r="K10" s="7" t="s">
        <v>205</v>
      </c>
      <c r="L10" s="22" t="n">
        <v>0</v>
      </c>
      <c r="M10" s="7" t="s">
        <v>209</v>
      </c>
      <c r="N10" s="3"/>
      <c r="O10" s="3"/>
      <c r="P10" s="3"/>
    </row>
    <row r="11" customFormat="false" ht="15" hidden="false" customHeight="true" outlineLevel="0" collapsed="false">
      <c r="A11" s="7" t="s">
        <v>214</v>
      </c>
      <c r="B11" s="8" t="n">
        <v>46145</v>
      </c>
      <c r="C11" s="7" t="s">
        <v>161</v>
      </c>
      <c r="D11" s="7" t="s">
        <v>158</v>
      </c>
      <c r="E11" s="7" t="s">
        <v>159</v>
      </c>
      <c r="F11" s="7"/>
      <c r="G11" s="7" t="s">
        <v>16</v>
      </c>
      <c r="H11" s="7" t="s">
        <v>185</v>
      </c>
      <c r="I11" s="7" t="s">
        <v>88</v>
      </c>
      <c r="J11" s="7" t="s">
        <v>205</v>
      </c>
      <c r="K11" s="7" t="s">
        <v>205</v>
      </c>
      <c r="L11" s="22" t="n">
        <v>0</v>
      </c>
      <c r="M11" s="7" t="s">
        <v>206</v>
      </c>
      <c r="N11" s="3"/>
      <c r="O11" s="3"/>
      <c r="P11" s="3"/>
    </row>
    <row r="12" customFormat="false" ht="23.25" hidden="false" customHeight="true" outlineLevel="0" collapsed="false">
      <c r="A12" s="7" t="s">
        <v>215</v>
      </c>
      <c r="B12" s="8" t="n">
        <v>46173</v>
      </c>
      <c r="C12" s="7" t="s">
        <v>162</v>
      </c>
      <c r="D12" s="7" t="s">
        <v>158</v>
      </c>
      <c r="E12" s="7" t="s">
        <v>159</v>
      </c>
      <c r="F12" s="7"/>
      <c r="G12" s="7" t="s">
        <v>16</v>
      </c>
      <c r="H12" s="7" t="s">
        <v>211</v>
      </c>
      <c r="I12" s="7" t="s">
        <v>107</v>
      </c>
      <c r="J12" s="7" t="s">
        <v>50</v>
      </c>
      <c r="K12" s="7" t="s">
        <v>50</v>
      </c>
      <c r="L12" s="22" t="n">
        <v>13535</v>
      </c>
      <c r="M12" s="7" t="s">
        <v>209</v>
      </c>
      <c r="N12" s="3"/>
      <c r="O12" s="3"/>
      <c r="P12" s="3"/>
    </row>
    <row r="13" customFormat="false" ht="15" hidden="false" customHeight="true" outlineLevel="0" collapsed="false">
      <c r="A13" s="7" t="s">
        <v>216</v>
      </c>
      <c r="B13" s="8" t="n">
        <v>46163</v>
      </c>
      <c r="C13" s="7" t="s">
        <v>162</v>
      </c>
      <c r="D13" s="7" t="s">
        <v>158</v>
      </c>
      <c r="E13" s="7" t="s">
        <v>159</v>
      </c>
      <c r="F13" s="7"/>
      <c r="G13" s="7" t="s">
        <v>16</v>
      </c>
      <c r="H13" s="7" t="s">
        <v>211</v>
      </c>
      <c r="I13" s="7" t="s">
        <v>93</v>
      </c>
      <c r="J13" s="7" t="s">
        <v>50</v>
      </c>
      <c r="K13" s="7" t="s">
        <v>205</v>
      </c>
      <c r="L13" s="22" t="n">
        <v>21721</v>
      </c>
      <c r="M13" s="7" t="s">
        <v>206</v>
      </c>
      <c r="N13" s="3"/>
      <c r="O13" s="3"/>
      <c r="P13" s="3"/>
    </row>
    <row r="14" customFormat="false" ht="15" hidden="false" customHeight="true" outlineLevel="0" collapsed="false">
      <c r="A14" s="7" t="s">
        <v>217</v>
      </c>
      <c r="B14" s="8" t="n">
        <v>46158</v>
      </c>
      <c r="C14" s="7" t="s">
        <v>163</v>
      </c>
      <c r="D14" s="7" t="s">
        <v>158</v>
      </c>
      <c r="E14" s="7" t="s">
        <v>159</v>
      </c>
      <c r="F14" s="7"/>
      <c r="G14" s="7" t="s">
        <v>16</v>
      </c>
      <c r="H14" s="7" t="s">
        <v>208</v>
      </c>
      <c r="I14" s="7" t="s">
        <v>93</v>
      </c>
      <c r="J14" s="7" t="s">
        <v>50</v>
      </c>
      <c r="K14" s="7" t="s">
        <v>205</v>
      </c>
      <c r="L14" s="22" t="n">
        <v>10272</v>
      </c>
      <c r="M14" s="7" t="s">
        <v>209</v>
      </c>
      <c r="N14" s="3"/>
      <c r="O14" s="3"/>
      <c r="P14" s="3"/>
    </row>
    <row r="15" customFormat="false" ht="15" hidden="false" customHeight="true" outlineLevel="0" collapsed="false">
      <c r="A15" s="7" t="s">
        <v>218</v>
      </c>
      <c r="B15" s="8" t="n">
        <v>46151</v>
      </c>
      <c r="C15" s="7" t="s">
        <v>161</v>
      </c>
      <c r="D15" s="7" t="s">
        <v>158</v>
      </c>
      <c r="E15" s="7" t="s">
        <v>159</v>
      </c>
      <c r="F15" s="7"/>
      <c r="G15" s="7" t="s">
        <v>16</v>
      </c>
      <c r="H15" s="7" t="s">
        <v>185</v>
      </c>
      <c r="I15" s="7" t="s">
        <v>93</v>
      </c>
      <c r="J15" s="7" t="s">
        <v>50</v>
      </c>
      <c r="K15" s="7" t="s">
        <v>205</v>
      </c>
      <c r="L15" s="22" t="n">
        <v>14660</v>
      </c>
      <c r="M15" s="7" t="s">
        <v>209</v>
      </c>
      <c r="N15" s="3"/>
      <c r="O15" s="3"/>
      <c r="P15" s="3"/>
    </row>
    <row r="16" customFormat="false" ht="15" hidden="false" customHeight="true" outlineLevel="0" collapsed="false">
      <c r="A16" s="7" t="s">
        <v>219</v>
      </c>
      <c r="B16" s="8" t="n">
        <v>46157</v>
      </c>
      <c r="C16" s="7" t="s">
        <v>157</v>
      </c>
      <c r="D16" s="7" t="s">
        <v>158</v>
      </c>
      <c r="E16" s="7" t="s">
        <v>159</v>
      </c>
      <c r="F16" s="7"/>
      <c r="G16" s="7" t="s">
        <v>16</v>
      </c>
      <c r="H16" s="7" t="s">
        <v>183</v>
      </c>
      <c r="I16" s="7" t="s">
        <v>93</v>
      </c>
      <c r="J16" s="7" t="s">
        <v>50</v>
      </c>
      <c r="K16" s="7" t="s">
        <v>205</v>
      </c>
      <c r="L16" s="22" t="n">
        <v>11497</v>
      </c>
      <c r="M16" s="7" t="s">
        <v>206</v>
      </c>
      <c r="N16" s="3"/>
      <c r="O16" s="3"/>
      <c r="P16" s="3"/>
    </row>
    <row r="17" customFormat="false" ht="15" hidden="false" customHeight="true" outlineLevel="0" collapsed="false">
      <c r="A17" s="7" t="s">
        <v>220</v>
      </c>
      <c r="B17" s="8" t="n">
        <v>46162</v>
      </c>
      <c r="C17" s="7" t="s">
        <v>161</v>
      </c>
      <c r="D17" s="7" t="s">
        <v>158</v>
      </c>
      <c r="E17" s="7" t="s">
        <v>159</v>
      </c>
      <c r="F17" s="7"/>
      <c r="G17" s="7" t="s">
        <v>16</v>
      </c>
      <c r="H17" s="7" t="s">
        <v>185</v>
      </c>
      <c r="I17" s="7" t="s">
        <v>93</v>
      </c>
      <c r="J17" s="7" t="s">
        <v>50</v>
      </c>
      <c r="K17" s="7" t="s">
        <v>205</v>
      </c>
      <c r="L17" s="22" t="n">
        <v>24047</v>
      </c>
      <c r="M17" s="7" t="s">
        <v>206</v>
      </c>
      <c r="N17" s="3"/>
      <c r="O17" s="3"/>
      <c r="P17" s="3"/>
    </row>
    <row r="18" customFormat="false" ht="15" hidden="false" customHeight="true" outlineLevel="0" collapsed="false">
      <c r="A18" s="7" t="s">
        <v>221</v>
      </c>
      <c r="B18" s="8" t="n">
        <v>46173</v>
      </c>
      <c r="C18" s="7" t="s">
        <v>161</v>
      </c>
      <c r="D18" s="7" t="s">
        <v>158</v>
      </c>
      <c r="E18" s="7" t="s">
        <v>159</v>
      </c>
      <c r="F18" s="7"/>
      <c r="G18" s="7" t="s">
        <v>16</v>
      </c>
      <c r="H18" s="7" t="s">
        <v>185</v>
      </c>
      <c r="I18" s="7" t="s">
        <v>88</v>
      </c>
      <c r="J18" s="7" t="s">
        <v>205</v>
      </c>
      <c r="K18" s="7" t="s">
        <v>205</v>
      </c>
      <c r="L18" s="22" t="n">
        <v>0</v>
      </c>
      <c r="M18" s="7" t="s">
        <v>209</v>
      </c>
      <c r="N18" s="3"/>
      <c r="O18" s="3"/>
      <c r="P18" s="3"/>
    </row>
    <row r="19" customFormat="false" ht="15" hidden="false" customHeight="true" outlineLevel="0" collapsed="false">
      <c r="A19" s="7" t="s">
        <v>222</v>
      </c>
      <c r="B19" s="8" t="n">
        <v>46163</v>
      </c>
      <c r="C19" s="7" t="s">
        <v>161</v>
      </c>
      <c r="D19" s="7" t="s">
        <v>158</v>
      </c>
      <c r="E19" s="7" t="s">
        <v>159</v>
      </c>
      <c r="F19" s="7"/>
      <c r="G19" s="7" t="s">
        <v>16</v>
      </c>
      <c r="H19" s="7" t="s">
        <v>185</v>
      </c>
      <c r="I19" s="7" t="s">
        <v>93</v>
      </c>
      <c r="J19" s="7" t="s">
        <v>50</v>
      </c>
      <c r="K19" s="7" t="s">
        <v>205</v>
      </c>
      <c r="L19" s="22" t="n">
        <v>22422</v>
      </c>
      <c r="M19" s="7" t="s">
        <v>206</v>
      </c>
      <c r="N19" s="3"/>
      <c r="O19" s="3"/>
      <c r="P19" s="3"/>
    </row>
    <row r="20" customFormat="false" ht="15" hidden="false" customHeight="true" outlineLevel="0" collapsed="false">
      <c r="A20" s="7" t="s">
        <v>223</v>
      </c>
      <c r="B20" s="8" t="n">
        <v>46165</v>
      </c>
      <c r="C20" s="7" t="s">
        <v>163</v>
      </c>
      <c r="D20" s="7" t="s">
        <v>158</v>
      </c>
      <c r="E20" s="7" t="s">
        <v>159</v>
      </c>
      <c r="F20" s="7"/>
      <c r="G20" s="7" t="s">
        <v>16</v>
      </c>
      <c r="H20" s="7" t="s">
        <v>208</v>
      </c>
      <c r="I20" s="7" t="s">
        <v>88</v>
      </c>
      <c r="J20" s="7" t="s">
        <v>205</v>
      </c>
      <c r="K20" s="7" t="s">
        <v>205</v>
      </c>
      <c r="L20" s="22" t="n">
        <v>0</v>
      </c>
      <c r="M20" s="7" t="s">
        <v>206</v>
      </c>
      <c r="N20" s="3"/>
      <c r="O20" s="3"/>
      <c r="P20" s="3"/>
    </row>
    <row r="21" customFormat="false" ht="15.75" hidden="false" customHeight="true" outlineLevel="0" collapsed="false">
      <c r="A21" s="7" t="s">
        <v>224</v>
      </c>
      <c r="B21" s="8" t="n">
        <v>46163</v>
      </c>
      <c r="C21" s="7" t="s">
        <v>157</v>
      </c>
      <c r="D21" s="7" t="s">
        <v>158</v>
      </c>
      <c r="E21" s="7" t="s">
        <v>159</v>
      </c>
      <c r="F21" s="7"/>
      <c r="G21" s="7" t="s">
        <v>16</v>
      </c>
      <c r="H21" s="7" t="s">
        <v>183</v>
      </c>
      <c r="I21" s="7" t="s">
        <v>93</v>
      </c>
      <c r="J21" s="7" t="s">
        <v>50</v>
      </c>
      <c r="K21" s="7" t="s">
        <v>205</v>
      </c>
      <c r="L21" s="22" t="n">
        <v>10976</v>
      </c>
      <c r="M21" s="7" t="s">
        <v>206</v>
      </c>
      <c r="N21" s="3"/>
      <c r="O21" s="3"/>
      <c r="P21" s="3"/>
    </row>
    <row r="22" customFormat="false" ht="15.75" hidden="false" customHeight="true" outlineLevel="0" collapsed="false">
      <c r="A22" s="7" t="s">
        <v>225</v>
      </c>
      <c r="B22" s="8" t="n">
        <v>46158</v>
      </c>
      <c r="C22" s="7" t="s">
        <v>161</v>
      </c>
      <c r="D22" s="7" t="s">
        <v>158</v>
      </c>
      <c r="E22" s="7" t="s">
        <v>159</v>
      </c>
      <c r="F22" s="7"/>
      <c r="G22" s="7" t="s">
        <v>16</v>
      </c>
      <c r="H22" s="7" t="s">
        <v>185</v>
      </c>
      <c r="I22" s="7" t="s">
        <v>88</v>
      </c>
      <c r="J22" s="7" t="s">
        <v>205</v>
      </c>
      <c r="K22" s="7" t="s">
        <v>205</v>
      </c>
      <c r="L22" s="22" t="n">
        <v>0</v>
      </c>
      <c r="M22" s="7" t="s">
        <v>206</v>
      </c>
      <c r="N22" s="3"/>
      <c r="O22" s="3"/>
      <c r="P22" s="3"/>
    </row>
    <row r="23" customFormat="false" ht="15.75" hidden="false" customHeight="true" outlineLevel="0" collapsed="false">
      <c r="A23" s="7" t="s">
        <v>226</v>
      </c>
      <c r="B23" s="8" t="n">
        <v>46150</v>
      </c>
      <c r="C23" s="7" t="s">
        <v>162</v>
      </c>
      <c r="D23" s="7" t="s">
        <v>158</v>
      </c>
      <c r="E23" s="7" t="s">
        <v>159</v>
      </c>
      <c r="F23" s="7"/>
      <c r="G23" s="7" t="s">
        <v>16</v>
      </c>
      <c r="H23" s="7" t="s">
        <v>211</v>
      </c>
      <c r="I23" s="7" t="s">
        <v>93</v>
      </c>
      <c r="J23" s="7" t="s">
        <v>50</v>
      </c>
      <c r="K23" s="7" t="s">
        <v>205</v>
      </c>
      <c r="L23" s="22" t="n">
        <v>19401</v>
      </c>
      <c r="M23" s="7" t="s">
        <v>209</v>
      </c>
      <c r="N23" s="3"/>
      <c r="O23" s="3"/>
      <c r="P23" s="3"/>
    </row>
    <row r="24" customFormat="false" ht="15.75" hidden="false" customHeight="true" outlineLevel="0" collapsed="false">
      <c r="A24" s="7" t="s">
        <v>227</v>
      </c>
      <c r="B24" s="8" t="n">
        <v>46173</v>
      </c>
      <c r="C24" s="7" t="s">
        <v>163</v>
      </c>
      <c r="D24" s="7" t="s">
        <v>158</v>
      </c>
      <c r="E24" s="7" t="s">
        <v>159</v>
      </c>
      <c r="F24" s="7"/>
      <c r="G24" s="7" t="s">
        <v>16</v>
      </c>
      <c r="H24" s="7" t="s">
        <v>208</v>
      </c>
      <c r="I24" s="7" t="s">
        <v>93</v>
      </c>
      <c r="J24" s="7" t="s">
        <v>50</v>
      </c>
      <c r="K24" s="7" t="s">
        <v>205</v>
      </c>
      <c r="L24" s="22" t="n">
        <v>22912</v>
      </c>
      <c r="M24" s="7" t="s">
        <v>209</v>
      </c>
      <c r="N24" s="3"/>
      <c r="O24" s="3"/>
      <c r="P24" s="3"/>
    </row>
    <row r="25" customFormat="false" ht="15.75" hidden="false" customHeight="true" outlineLevel="0" collapsed="false">
      <c r="A25" s="7" t="s">
        <v>228</v>
      </c>
      <c r="B25" s="8" t="n">
        <v>46161</v>
      </c>
      <c r="C25" s="7" t="s">
        <v>161</v>
      </c>
      <c r="D25" s="7" t="s">
        <v>158</v>
      </c>
      <c r="E25" s="7" t="s">
        <v>159</v>
      </c>
      <c r="F25" s="7"/>
      <c r="G25" s="7" t="s">
        <v>16</v>
      </c>
      <c r="H25" s="7" t="s">
        <v>185</v>
      </c>
      <c r="I25" s="7" t="s">
        <v>93</v>
      </c>
      <c r="J25" s="7" t="s">
        <v>50</v>
      </c>
      <c r="K25" s="7" t="s">
        <v>205</v>
      </c>
      <c r="L25" s="22" t="n">
        <v>19772</v>
      </c>
      <c r="M25" s="7" t="s">
        <v>206</v>
      </c>
      <c r="N25" s="3"/>
      <c r="O25" s="3"/>
      <c r="P25" s="3"/>
    </row>
    <row r="26" customFormat="false" ht="15.75" hidden="false" customHeight="true" outlineLevel="0" collapsed="false">
      <c r="A26" s="7" t="s">
        <v>229</v>
      </c>
      <c r="B26" s="8" t="n">
        <v>46160</v>
      </c>
      <c r="C26" s="7" t="s">
        <v>157</v>
      </c>
      <c r="D26" s="7" t="s">
        <v>158</v>
      </c>
      <c r="E26" s="7" t="s">
        <v>159</v>
      </c>
      <c r="F26" s="7"/>
      <c r="G26" s="7" t="s">
        <v>16</v>
      </c>
      <c r="H26" s="7" t="s">
        <v>183</v>
      </c>
      <c r="I26" s="7" t="s">
        <v>88</v>
      </c>
      <c r="J26" s="7" t="s">
        <v>205</v>
      </c>
      <c r="K26" s="7" t="s">
        <v>205</v>
      </c>
      <c r="L26" s="22" t="n">
        <v>0</v>
      </c>
      <c r="M26" s="7" t="s">
        <v>206</v>
      </c>
      <c r="N26" s="3"/>
      <c r="O26" s="3"/>
      <c r="P26" s="3"/>
    </row>
    <row r="27" customFormat="false" ht="15.75" hidden="false" customHeight="true" outlineLevel="0" collapsed="false">
      <c r="A27" s="7" t="s">
        <v>230</v>
      </c>
      <c r="B27" s="8" t="n">
        <v>46169</v>
      </c>
      <c r="C27" s="7" t="s">
        <v>162</v>
      </c>
      <c r="D27" s="7" t="s">
        <v>158</v>
      </c>
      <c r="E27" s="7" t="s">
        <v>159</v>
      </c>
      <c r="F27" s="7"/>
      <c r="G27" s="7" t="s">
        <v>16</v>
      </c>
      <c r="H27" s="7" t="s">
        <v>211</v>
      </c>
      <c r="I27" s="7" t="s">
        <v>93</v>
      </c>
      <c r="J27" s="7" t="s">
        <v>50</v>
      </c>
      <c r="K27" s="7" t="s">
        <v>205</v>
      </c>
      <c r="L27" s="22" t="n">
        <v>20081</v>
      </c>
      <c r="M27" s="7" t="s">
        <v>206</v>
      </c>
      <c r="N27" s="3"/>
      <c r="O27" s="3"/>
      <c r="P27" s="3"/>
    </row>
    <row r="28" customFormat="false" ht="15.75" hidden="false" customHeight="true" outlineLevel="0" collapsed="false">
      <c r="A28" s="7" t="s">
        <v>231</v>
      </c>
      <c r="B28" s="8" t="n">
        <v>46152</v>
      </c>
      <c r="C28" s="7" t="s">
        <v>161</v>
      </c>
      <c r="D28" s="7" t="s">
        <v>158</v>
      </c>
      <c r="E28" s="7" t="s">
        <v>159</v>
      </c>
      <c r="F28" s="7"/>
      <c r="G28" s="7" t="s">
        <v>16</v>
      </c>
      <c r="H28" s="7" t="s">
        <v>185</v>
      </c>
      <c r="I28" s="7" t="s">
        <v>93</v>
      </c>
      <c r="J28" s="7" t="s">
        <v>50</v>
      </c>
      <c r="K28" s="7" t="s">
        <v>205</v>
      </c>
      <c r="L28" s="22" t="n">
        <v>20507</v>
      </c>
      <c r="M28" s="7" t="s">
        <v>209</v>
      </c>
      <c r="N28" s="3"/>
      <c r="O28" s="3"/>
      <c r="P28" s="3"/>
    </row>
    <row r="29" customFormat="false" ht="15.75" hidden="false" customHeight="true" outlineLevel="0" collapsed="false">
      <c r="A29" s="7" t="s">
        <v>232</v>
      </c>
      <c r="B29" s="8" t="n">
        <v>46148</v>
      </c>
      <c r="C29" s="7" t="s">
        <v>161</v>
      </c>
      <c r="D29" s="7" t="s">
        <v>158</v>
      </c>
      <c r="E29" s="7" t="s">
        <v>159</v>
      </c>
      <c r="F29" s="7"/>
      <c r="G29" s="7" t="s">
        <v>16</v>
      </c>
      <c r="H29" s="7" t="s">
        <v>185</v>
      </c>
      <c r="I29" s="7" t="s">
        <v>107</v>
      </c>
      <c r="J29" s="7" t="s">
        <v>50</v>
      </c>
      <c r="K29" s="7" t="s">
        <v>50</v>
      </c>
      <c r="L29" s="22" t="n">
        <v>15562</v>
      </c>
      <c r="M29" s="7" t="s">
        <v>206</v>
      </c>
      <c r="N29" s="3"/>
      <c r="O29" s="3"/>
      <c r="P29" s="3"/>
    </row>
    <row r="30" customFormat="false" ht="15.75" hidden="false" customHeight="true" outlineLevel="0" collapsed="false">
      <c r="A30" s="7" t="s">
        <v>233</v>
      </c>
      <c r="B30" s="8" t="n">
        <v>46166</v>
      </c>
      <c r="C30" s="7" t="s">
        <v>157</v>
      </c>
      <c r="D30" s="7" t="s">
        <v>158</v>
      </c>
      <c r="E30" s="7" t="s">
        <v>159</v>
      </c>
      <c r="F30" s="7"/>
      <c r="G30" s="7" t="s">
        <v>16</v>
      </c>
      <c r="H30" s="7" t="s">
        <v>183</v>
      </c>
      <c r="I30" s="7" t="s">
        <v>93</v>
      </c>
      <c r="J30" s="7" t="s">
        <v>50</v>
      </c>
      <c r="K30" s="7" t="s">
        <v>205</v>
      </c>
      <c r="L30" s="22" t="n">
        <v>23403</v>
      </c>
      <c r="M30" s="7" t="s">
        <v>206</v>
      </c>
      <c r="N30" s="3"/>
      <c r="O30" s="3"/>
      <c r="P30" s="3"/>
    </row>
    <row r="31" customFormat="false" ht="15.75" hidden="false" customHeight="true" outlineLevel="0" collapsed="false">
      <c r="A31" s="7" t="s">
        <v>234</v>
      </c>
      <c r="B31" s="8" t="n">
        <v>46166</v>
      </c>
      <c r="C31" s="7" t="s">
        <v>162</v>
      </c>
      <c r="D31" s="7" t="s">
        <v>158</v>
      </c>
      <c r="E31" s="7" t="s">
        <v>159</v>
      </c>
      <c r="F31" s="7"/>
      <c r="G31" s="7" t="s">
        <v>16</v>
      </c>
      <c r="H31" s="7" t="s">
        <v>211</v>
      </c>
      <c r="I31" s="7" t="s">
        <v>93</v>
      </c>
      <c r="J31" s="7" t="s">
        <v>50</v>
      </c>
      <c r="K31" s="7" t="s">
        <v>205</v>
      </c>
      <c r="L31" s="22" t="n">
        <v>10919</v>
      </c>
      <c r="M31" s="7" t="s">
        <v>209</v>
      </c>
      <c r="N31" s="3"/>
      <c r="O31" s="3"/>
      <c r="P31" s="3"/>
    </row>
    <row r="32" customFormat="false" ht="15.75" hidden="false" customHeight="true" outlineLevel="0" collapsed="false">
      <c r="A32" s="7" t="s">
        <v>235</v>
      </c>
      <c r="B32" s="8" t="n">
        <v>46146</v>
      </c>
      <c r="C32" s="7" t="s">
        <v>162</v>
      </c>
      <c r="D32" s="7" t="s">
        <v>158</v>
      </c>
      <c r="E32" s="7" t="s">
        <v>159</v>
      </c>
      <c r="F32" s="7"/>
      <c r="G32" s="7" t="s">
        <v>16</v>
      </c>
      <c r="H32" s="7" t="s">
        <v>211</v>
      </c>
      <c r="I32" s="7" t="s">
        <v>88</v>
      </c>
      <c r="J32" s="7" t="s">
        <v>205</v>
      </c>
      <c r="K32" s="7" t="s">
        <v>205</v>
      </c>
      <c r="L32" s="22" t="n">
        <v>0</v>
      </c>
      <c r="M32" s="7" t="s">
        <v>206</v>
      </c>
      <c r="N32" s="3"/>
      <c r="O32" s="3"/>
      <c r="P32" s="3"/>
    </row>
    <row r="33" customFormat="false" ht="15.75" hidden="false" customHeight="true" outlineLevel="0" collapsed="false">
      <c r="A33" s="7" t="s">
        <v>236</v>
      </c>
      <c r="B33" s="8" t="n">
        <v>46172</v>
      </c>
      <c r="C33" s="7" t="s">
        <v>162</v>
      </c>
      <c r="D33" s="7" t="s">
        <v>158</v>
      </c>
      <c r="E33" s="7" t="s">
        <v>159</v>
      </c>
      <c r="F33" s="7"/>
      <c r="G33" s="7" t="s">
        <v>16</v>
      </c>
      <c r="H33" s="7" t="s">
        <v>211</v>
      </c>
      <c r="I33" s="7" t="s">
        <v>93</v>
      </c>
      <c r="J33" s="7" t="s">
        <v>50</v>
      </c>
      <c r="K33" s="7" t="s">
        <v>205</v>
      </c>
      <c r="L33" s="22" t="n">
        <v>11123</v>
      </c>
      <c r="M33" s="7" t="s">
        <v>206</v>
      </c>
      <c r="N33" s="3"/>
      <c r="O33" s="3"/>
      <c r="P33" s="3"/>
    </row>
    <row r="34" customFormat="false" ht="15.75" hidden="false" customHeight="true" outlineLevel="0" collapsed="false">
      <c r="A34" s="7" t="s">
        <v>237</v>
      </c>
      <c r="B34" s="8" t="n">
        <v>46170</v>
      </c>
      <c r="C34" s="7" t="s">
        <v>162</v>
      </c>
      <c r="D34" s="7" t="s">
        <v>158</v>
      </c>
      <c r="E34" s="7" t="s">
        <v>159</v>
      </c>
      <c r="F34" s="7"/>
      <c r="G34" s="7" t="s">
        <v>16</v>
      </c>
      <c r="H34" s="7" t="s">
        <v>211</v>
      </c>
      <c r="I34" s="7" t="s">
        <v>93</v>
      </c>
      <c r="J34" s="7" t="s">
        <v>50</v>
      </c>
      <c r="K34" s="7" t="s">
        <v>205</v>
      </c>
      <c r="L34" s="22" t="n">
        <v>11972</v>
      </c>
      <c r="M34" s="7" t="s">
        <v>209</v>
      </c>
      <c r="N34" s="3"/>
      <c r="O34" s="3"/>
      <c r="P34" s="3"/>
    </row>
    <row r="35" customFormat="false" ht="15.75" hidden="false" customHeight="true" outlineLevel="0" collapsed="false">
      <c r="A35" s="7" t="s">
        <v>238</v>
      </c>
      <c r="B35" s="8" t="n">
        <v>46152</v>
      </c>
      <c r="C35" s="7" t="s">
        <v>163</v>
      </c>
      <c r="D35" s="7" t="s">
        <v>158</v>
      </c>
      <c r="E35" s="7" t="s">
        <v>159</v>
      </c>
      <c r="F35" s="7"/>
      <c r="G35" s="7" t="s">
        <v>16</v>
      </c>
      <c r="H35" s="7" t="s">
        <v>208</v>
      </c>
      <c r="I35" s="7" t="s">
        <v>93</v>
      </c>
      <c r="J35" s="7" t="s">
        <v>50</v>
      </c>
      <c r="K35" s="7" t="s">
        <v>205</v>
      </c>
      <c r="L35" s="22" t="n">
        <v>18453</v>
      </c>
      <c r="M35" s="7" t="s">
        <v>206</v>
      </c>
      <c r="N35" s="3"/>
      <c r="O35" s="3"/>
      <c r="P35" s="3"/>
    </row>
    <row r="36" customFormat="false" ht="15.75" hidden="false" customHeight="true" outlineLevel="0" collapsed="false">
      <c r="A36" s="7" t="s">
        <v>239</v>
      </c>
      <c r="B36" s="8" t="n">
        <v>46145</v>
      </c>
      <c r="C36" s="7" t="s">
        <v>163</v>
      </c>
      <c r="D36" s="7" t="s">
        <v>158</v>
      </c>
      <c r="E36" s="7" t="s">
        <v>159</v>
      </c>
      <c r="F36" s="7"/>
      <c r="G36" s="7" t="s">
        <v>16</v>
      </c>
      <c r="H36" s="7" t="s">
        <v>208</v>
      </c>
      <c r="I36" s="7" t="s">
        <v>88</v>
      </c>
      <c r="J36" s="7" t="s">
        <v>205</v>
      </c>
      <c r="K36" s="7" t="s">
        <v>205</v>
      </c>
      <c r="L36" s="22" t="n">
        <v>0</v>
      </c>
      <c r="M36" s="7" t="s">
        <v>206</v>
      </c>
      <c r="N36" s="3"/>
      <c r="O36" s="3"/>
      <c r="P36" s="3"/>
    </row>
    <row r="37" customFormat="false" ht="15.75" hidden="false" customHeight="true" outlineLevel="0" collapsed="false">
      <c r="A37" s="7" t="s">
        <v>240</v>
      </c>
      <c r="B37" s="8" t="n">
        <v>46144</v>
      </c>
      <c r="C37" s="7" t="s">
        <v>162</v>
      </c>
      <c r="D37" s="7" t="s">
        <v>158</v>
      </c>
      <c r="E37" s="7" t="s">
        <v>159</v>
      </c>
      <c r="F37" s="7"/>
      <c r="G37" s="7" t="s">
        <v>16</v>
      </c>
      <c r="H37" s="7" t="s">
        <v>211</v>
      </c>
      <c r="I37" s="7" t="s">
        <v>93</v>
      </c>
      <c r="J37" s="7" t="s">
        <v>50</v>
      </c>
      <c r="K37" s="7" t="s">
        <v>205</v>
      </c>
      <c r="L37" s="22" t="n">
        <v>21722</v>
      </c>
      <c r="M37" s="7" t="s">
        <v>209</v>
      </c>
      <c r="N37" s="3"/>
      <c r="O37" s="3"/>
      <c r="P37" s="3"/>
    </row>
    <row r="38" customFormat="false" ht="15.75" hidden="false" customHeight="true" outlineLevel="0" collapsed="false">
      <c r="A38" s="7" t="s">
        <v>241</v>
      </c>
      <c r="B38" s="8" t="n">
        <v>46173</v>
      </c>
      <c r="C38" s="7" t="s">
        <v>157</v>
      </c>
      <c r="D38" s="7" t="s">
        <v>158</v>
      </c>
      <c r="E38" s="7" t="s">
        <v>159</v>
      </c>
      <c r="F38" s="7"/>
      <c r="G38" s="7" t="s">
        <v>16</v>
      </c>
      <c r="H38" s="7" t="s">
        <v>183</v>
      </c>
      <c r="I38" s="7" t="s">
        <v>93</v>
      </c>
      <c r="J38" s="7" t="s">
        <v>50</v>
      </c>
      <c r="K38" s="7" t="s">
        <v>205</v>
      </c>
      <c r="L38" s="22" t="n">
        <v>10336</v>
      </c>
      <c r="M38" s="7" t="s">
        <v>209</v>
      </c>
      <c r="N38" s="3"/>
      <c r="O38" s="3"/>
      <c r="P38" s="3"/>
    </row>
    <row r="39" customFormat="false" ht="15.75" hidden="false" customHeight="true" outlineLevel="0" collapsed="false">
      <c r="A39" s="7" t="s">
        <v>242</v>
      </c>
      <c r="B39" s="8" t="n">
        <v>46150</v>
      </c>
      <c r="C39" s="7" t="s">
        <v>163</v>
      </c>
      <c r="D39" s="7" t="s">
        <v>158</v>
      </c>
      <c r="E39" s="7" t="s">
        <v>159</v>
      </c>
      <c r="F39" s="7"/>
      <c r="G39" s="7" t="s">
        <v>16</v>
      </c>
      <c r="H39" s="7" t="s">
        <v>208</v>
      </c>
      <c r="I39" s="7" t="s">
        <v>88</v>
      </c>
      <c r="J39" s="7" t="s">
        <v>205</v>
      </c>
      <c r="K39" s="7" t="s">
        <v>205</v>
      </c>
      <c r="L39" s="22" t="n">
        <v>0</v>
      </c>
      <c r="M39" s="7" t="s">
        <v>209</v>
      </c>
      <c r="N39" s="3"/>
      <c r="O39" s="3"/>
      <c r="P39" s="3"/>
    </row>
    <row r="40" customFormat="false" ht="15.75" hidden="false" customHeight="true" outlineLevel="0" collapsed="false">
      <c r="A40" s="7" t="s">
        <v>243</v>
      </c>
      <c r="B40" s="8" t="n">
        <v>46157</v>
      </c>
      <c r="C40" s="7" t="s">
        <v>161</v>
      </c>
      <c r="D40" s="7" t="s">
        <v>158</v>
      </c>
      <c r="E40" s="7" t="s">
        <v>159</v>
      </c>
      <c r="F40" s="7"/>
      <c r="G40" s="7" t="s">
        <v>16</v>
      </c>
      <c r="H40" s="7" t="s">
        <v>185</v>
      </c>
      <c r="I40" s="7" t="s">
        <v>93</v>
      </c>
      <c r="J40" s="7" t="s">
        <v>50</v>
      </c>
      <c r="K40" s="7" t="s">
        <v>205</v>
      </c>
      <c r="L40" s="22" t="n">
        <v>18070</v>
      </c>
      <c r="M40" s="7" t="s">
        <v>209</v>
      </c>
      <c r="N40" s="3"/>
      <c r="O40" s="3"/>
      <c r="P40" s="3"/>
    </row>
    <row r="41" customFormat="false" ht="15.75" hidden="false" customHeight="true" outlineLevel="0" collapsed="false">
      <c r="A41" s="7" t="s">
        <v>244</v>
      </c>
      <c r="B41" s="8" t="n">
        <v>46151</v>
      </c>
      <c r="C41" s="7" t="s">
        <v>162</v>
      </c>
      <c r="D41" s="7" t="s">
        <v>158</v>
      </c>
      <c r="E41" s="7" t="s">
        <v>159</v>
      </c>
      <c r="F41" s="7"/>
      <c r="G41" s="7" t="s">
        <v>16</v>
      </c>
      <c r="H41" s="7" t="s">
        <v>211</v>
      </c>
      <c r="I41" s="7" t="s">
        <v>93</v>
      </c>
      <c r="J41" s="7" t="s">
        <v>50</v>
      </c>
      <c r="K41" s="7" t="s">
        <v>205</v>
      </c>
      <c r="L41" s="22" t="n">
        <v>17532</v>
      </c>
      <c r="M41" s="7" t="s">
        <v>209</v>
      </c>
      <c r="N41" s="3"/>
      <c r="O41" s="3"/>
      <c r="P41" s="3"/>
    </row>
    <row r="42" customFormat="false" ht="15.75" hidden="false" customHeight="true" outlineLevel="0" collapsed="false">
      <c r="A42" s="7" t="s">
        <v>245</v>
      </c>
      <c r="B42" s="8" t="n">
        <v>46143</v>
      </c>
      <c r="C42" s="7" t="s">
        <v>163</v>
      </c>
      <c r="D42" s="7" t="s">
        <v>158</v>
      </c>
      <c r="E42" s="7" t="s">
        <v>159</v>
      </c>
      <c r="F42" s="7"/>
      <c r="G42" s="7" t="s">
        <v>16</v>
      </c>
      <c r="H42" s="7" t="s">
        <v>208</v>
      </c>
      <c r="I42" s="7" t="s">
        <v>93</v>
      </c>
      <c r="J42" s="7" t="s">
        <v>50</v>
      </c>
      <c r="K42" s="7" t="s">
        <v>205</v>
      </c>
      <c r="L42" s="22" t="n">
        <v>24103</v>
      </c>
      <c r="M42" s="7" t="s">
        <v>209</v>
      </c>
      <c r="N42" s="3"/>
      <c r="O42" s="3"/>
      <c r="P42" s="3"/>
    </row>
    <row r="43" customFormat="false" ht="15.75" hidden="false" customHeight="true" outlineLevel="0" collapsed="false">
      <c r="A43" s="7" t="s">
        <v>246</v>
      </c>
      <c r="B43" s="8" t="n">
        <v>46145</v>
      </c>
      <c r="C43" s="7" t="s">
        <v>162</v>
      </c>
      <c r="D43" s="7" t="s">
        <v>158</v>
      </c>
      <c r="E43" s="7" t="s">
        <v>159</v>
      </c>
      <c r="F43" s="7"/>
      <c r="G43" s="7" t="s">
        <v>16</v>
      </c>
      <c r="H43" s="7" t="s">
        <v>211</v>
      </c>
      <c r="I43" s="7" t="s">
        <v>107</v>
      </c>
      <c r="J43" s="7" t="s">
        <v>50</v>
      </c>
      <c r="K43" s="7" t="s">
        <v>50</v>
      </c>
      <c r="L43" s="22" t="n">
        <v>17765</v>
      </c>
      <c r="M43" s="7" t="s">
        <v>206</v>
      </c>
      <c r="N43" s="3"/>
      <c r="O43" s="3"/>
      <c r="P43" s="3"/>
    </row>
    <row r="44" customFormat="false" ht="15.75" hidden="false" customHeight="true" outlineLevel="0" collapsed="false">
      <c r="A44" s="7" t="s">
        <v>247</v>
      </c>
      <c r="B44" s="8" t="n">
        <v>46146</v>
      </c>
      <c r="C44" s="7" t="s">
        <v>161</v>
      </c>
      <c r="D44" s="7" t="s">
        <v>158</v>
      </c>
      <c r="E44" s="7" t="s">
        <v>159</v>
      </c>
      <c r="F44" s="7"/>
      <c r="G44" s="7" t="s">
        <v>16</v>
      </c>
      <c r="H44" s="7" t="s">
        <v>185</v>
      </c>
      <c r="I44" s="7" t="s">
        <v>93</v>
      </c>
      <c r="J44" s="7" t="s">
        <v>50</v>
      </c>
      <c r="K44" s="7" t="s">
        <v>205</v>
      </c>
      <c r="L44" s="22" t="n">
        <v>8640</v>
      </c>
      <c r="M44" s="7" t="s">
        <v>206</v>
      </c>
      <c r="N44" s="3"/>
      <c r="O44" s="3"/>
      <c r="P44" s="3"/>
    </row>
    <row r="45" customFormat="false" ht="15.75" hidden="false" customHeight="true" outlineLevel="0" collapsed="false">
      <c r="A45" s="7" t="s">
        <v>248</v>
      </c>
      <c r="B45" s="8" t="n">
        <v>46154</v>
      </c>
      <c r="C45" s="7" t="s">
        <v>157</v>
      </c>
      <c r="D45" s="7" t="s">
        <v>158</v>
      </c>
      <c r="E45" s="7" t="s">
        <v>159</v>
      </c>
      <c r="F45" s="7"/>
      <c r="G45" s="7" t="s">
        <v>16</v>
      </c>
      <c r="H45" s="7" t="s">
        <v>183</v>
      </c>
      <c r="I45" s="7" t="s">
        <v>93</v>
      </c>
      <c r="J45" s="7" t="s">
        <v>50</v>
      </c>
      <c r="K45" s="7" t="s">
        <v>205</v>
      </c>
      <c r="L45" s="22" t="n">
        <v>8788</v>
      </c>
      <c r="M45" s="7" t="s">
        <v>209</v>
      </c>
      <c r="N45" s="3"/>
      <c r="O45" s="3"/>
      <c r="P45" s="3"/>
    </row>
    <row r="46" customFormat="false" ht="15.75" hidden="false" customHeight="true" outlineLevel="0" collapsed="false">
      <c r="A46" s="7" t="s">
        <v>249</v>
      </c>
      <c r="B46" s="8" t="n">
        <v>46146</v>
      </c>
      <c r="C46" s="7" t="s">
        <v>163</v>
      </c>
      <c r="D46" s="7" t="s">
        <v>158</v>
      </c>
      <c r="E46" s="7" t="s">
        <v>159</v>
      </c>
      <c r="F46" s="7"/>
      <c r="G46" s="7" t="s">
        <v>16</v>
      </c>
      <c r="H46" s="7" t="s">
        <v>208</v>
      </c>
      <c r="I46" s="7" t="s">
        <v>88</v>
      </c>
      <c r="J46" s="7" t="s">
        <v>205</v>
      </c>
      <c r="K46" s="7" t="s">
        <v>205</v>
      </c>
      <c r="L46" s="22" t="n">
        <v>0</v>
      </c>
      <c r="M46" s="7" t="s">
        <v>209</v>
      </c>
      <c r="N46" s="3"/>
      <c r="O46" s="3"/>
      <c r="P46" s="3"/>
    </row>
    <row r="47" customFormat="false" ht="15.75" hidden="false" customHeight="true" outlineLevel="0" collapsed="false">
      <c r="A47" s="7" t="s">
        <v>250</v>
      </c>
      <c r="B47" s="8" t="n">
        <v>46146</v>
      </c>
      <c r="C47" s="7" t="s">
        <v>162</v>
      </c>
      <c r="D47" s="7" t="s">
        <v>158</v>
      </c>
      <c r="E47" s="7" t="s">
        <v>159</v>
      </c>
      <c r="F47" s="7"/>
      <c r="G47" s="7" t="s">
        <v>16</v>
      </c>
      <c r="H47" s="7" t="s">
        <v>211</v>
      </c>
      <c r="I47" s="7" t="s">
        <v>93</v>
      </c>
      <c r="J47" s="7" t="s">
        <v>50</v>
      </c>
      <c r="K47" s="7" t="s">
        <v>205</v>
      </c>
      <c r="L47" s="22" t="n">
        <v>20793</v>
      </c>
      <c r="M47" s="7" t="s">
        <v>206</v>
      </c>
      <c r="N47" s="3"/>
      <c r="O47" s="3"/>
      <c r="P47" s="3"/>
    </row>
    <row r="48" customFormat="false" ht="15.75" hidden="false" customHeight="true" outlineLevel="0" collapsed="false">
      <c r="A48" s="7" t="s">
        <v>251</v>
      </c>
      <c r="B48" s="8" t="n">
        <v>46164</v>
      </c>
      <c r="C48" s="7" t="s">
        <v>162</v>
      </c>
      <c r="D48" s="7" t="s">
        <v>158</v>
      </c>
      <c r="E48" s="7" t="s">
        <v>159</v>
      </c>
      <c r="F48" s="7"/>
      <c r="G48" s="7" t="s">
        <v>16</v>
      </c>
      <c r="H48" s="7" t="s">
        <v>211</v>
      </c>
      <c r="I48" s="7" t="s">
        <v>93</v>
      </c>
      <c r="J48" s="7" t="s">
        <v>50</v>
      </c>
      <c r="K48" s="7" t="s">
        <v>205</v>
      </c>
      <c r="L48" s="22" t="n">
        <v>24903</v>
      </c>
      <c r="M48" s="7" t="s">
        <v>206</v>
      </c>
      <c r="N48" s="3"/>
      <c r="O48" s="3"/>
      <c r="P48" s="3"/>
    </row>
    <row r="49" customFormat="false" ht="15.75" hidden="false" customHeight="true" outlineLevel="0" collapsed="false">
      <c r="A49" s="7" t="s">
        <v>252</v>
      </c>
      <c r="B49" s="8" t="n">
        <v>46169</v>
      </c>
      <c r="C49" s="7" t="s">
        <v>157</v>
      </c>
      <c r="D49" s="7" t="s">
        <v>158</v>
      </c>
      <c r="E49" s="7" t="s">
        <v>159</v>
      </c>
      <c r="F49" s="7"/>
      <c r="G49" s="7" t="s">
        <v>16</v>
      </c>
      <c r="H49" s="7" t="s">
        <v>183</v>
      </c>
      <c r="I49" s="7" t="s">
        <v>107</v>
      </c>
      <c r="J49" s="7" t="s">
        <v>50</v>
      </c>
      <c r="K49" s="7" t="s">
        <v>50</v>
      </c>
      <c r="L49" s="22" t="n">
        <v>8238</v>
      </c>
      <c r="M49" s="7" t="s">
        <v>206</v>
      </c>
      <c r="N49" s="3"/>
      <c r="O49" s="3"/>
      <c r="P49" s="3"/>
    </row>
    <row r="50" customFormat="false" ht="15.75" hidden="false" customHeight="true" outlineLevel="0" collapsed="false">
      <c r="A50" s="7" t="s">
        <v>253</v>
      </c>
      <c r="B50" s="8" t="n">
        <v>46171</v>
      </c>
      <c r="C50" s="7" t="s">
        <v>162</v>
      </c>
      <c r="D50" s="7" t="s">
        <v>158</v>
      </c>
      <c r="E50" s="7" t="s">
        <v>159</v>
      </c>
      <c r="F50" s="7"/>
      <c r="G50" s="7" t="s">
        <v>16</v>
      </c>
      <c r="H50" s="7" t="s">
        <v>211</v>
      </c>
      <c r="I50" s="7" t="s">
        <v>93</v>
      </c>
      <c r="J50" s="7" t="s">
        <v>50</v>
      </c>
      <c r="K50" s="7" t="s">
        <v>205</v>
      </c>
      <c r="L50" s="22" t="n">
        <v>24026</v>
      </c>
      <c r="M50" s="7" t="s">
        <v>206</v>
      </c>
      <c r="N50" s="3"/>
      <c r="O50" s="3"/>
      <c r="P50" s="3"/>
    </row>
    <row r="51" customFormat="false" ht="15.75" hidden="false" customHeight="true" outlineLevel="0" collapsed="false">
      <c r="A51" s="7" t="s">
        <v>254</v>
      </c>
      <c r="B51" s="8" t="n">
        <v>46166</v>
      </c>
      <c r="C51" s="7" t="s">
        <v>162</v>
      </c>
      <c r="D51" s="7" t="s">
        <v>158</v>
      </c>
      <c r="E51" s="7" t="s">
        <v>159</v>
      </c>
      <c r="F51" s="7"/>
      <c r="G51" s="7" t="s">
        <v>16</v>
      </c>
      <c r="H51" s="7" t="s">
        <v>211</v>
      </c>
      <c r="I51" s="7" t="s">
        <v>88</v>
      </c>
      <c r="J51" s="7" t="s">
        <v>205</v>
      </c>
      <c r="K51" s="7" t="s">
        <v>205</v>
      </c>
      <c r="L51" s="22" t="n">
        <v>0</v>
      </c>
      <c r="M51" s="7" t="s">
        <v>209</v>
      </c>
      <c r="N51" s="3"/>
      <c r="O51" s="3"/>
      <c r="P51" s="3"/>
    </row>
    <row r="52" customFormat="false" ht="15.75" hidden="false" customHeight="true" outlineLevel="0" collapsed="false">
      <c r="A52" s="7" t="s">
        <v>255</v>
      </c>
      <c r="B52" s="8" t="n">
        <v>46143</v>
      </c>
      <c r="C52" s="7" t="s">
        <v>162</v>
      </c>
      <c r="D52" s="7" t="s">
        <v>158</v>
      </c>
      <c r="E52" s="7" t="s">
        <v>159</v>
      </c>
      <c r="F52" s="7"/>
      <c r="G52" s="7" t="s">
        <v>16</v>
      </c>
      <c r="H52" s="7" t="s">
        <v>211</v>
      </c>
      <c r="I52" s="7" t="s">
        <v>93</v>
      </c>
      <c r="J52" s="7" t="s">
        <v>50</v>
      </c>
      <c r="K52" s="7" t="s">
        <v>205</v>
      </c>
      <c r="L52" s="22" t="n">
        <v>17015</v>
      </c>
      <c r="M52" s="7" t="s">
        <v>206</v>
      </c>
      <c r="N52" s="3"/>
      <c r="O52" s="3"/>
      <c r="P52" s="3"/>
    </row>
    <row r="53" customFormat="false" ht="15.75" hidden="false" customHeight="true" outlineLevel="0" collapsed="false">
      <c r="A53" s="7" t="s">
        <v>256</v>
      </c>
      <c r="B53" s="8" t="n">
        <v>46156</v>
      </c>
      <c r="C53" s="7" t="s">
        <v>163</v>
      </c>
      <c r="D53" s="7" t="s">
        <v>158</v>
      </c>
      <c r="E53" s="7" t="s">
        <v>159</v>
      </c>
      <c r="F53" s="7"/>
      <c r="G53" s="7" t="s">
        <v>16</v>
      </c>
      <c r="H53" s="7" t="s">
        <v>208</v>
      </c>
      <c r="I53" s="7" t="s">
        <v>88</v>
      </c>
      <c r="J53" s="7" t="s">
        <v>205</v>
      </c>
      <c r="K53" s="7" t="s">
        <v>205</v>
      </c>
      <c r="L53" s="22" t="n">
        <v>0</v>
      </c>
      <c r="M53" s="7" t="s">
        <v>206</v>
      </c>
      <c r="N53" s="3"/>
      <c r="O53" s="3"/>
      <c r="P53" s="3"/>
    </row>
    <row r="54" customFormat="false" ht="15.75" hidden="false" customHeight="true" outlineLevel="0" collapsed="false">
      <c r="A54" s="7" t="s">
        <v>257</v>
      </c>
      <c r="B54" s="8" t="n">
        <v>46161</v>
      </c>
      <c r="C54" s="7" t="s">
        <v>157</v>
      </c>
      <c r="D54" s="7" t="s">
        <v>158</v>
      </c>
      <c r="E54" s="7" t="s">
        <v>159</v>
      </c>
      <c r="F54" s="7"/>
      <c r="G54" s="7" t="s">
        <v>16</v>
      </c>
      <c r="H54" s="7" t="s">
        <v>183</v>
      </c>
      <c r="I54" s="7" t="s">
        <v>93</v>
      </c>
      <c r="J54" s="7" t="s">
        <v>50</v>
      </c>
      <c r="K54" s="7" t="s">
        <v>205</v>
      </c>
      <c r="L54" s="22" t="n">
        <v>19081</v>
      </c>
      <c r="M54" s="7" t="s">
        <v>206</v>
      </c>
      <c r="N54" s="3"/>
      <c r="O54" s="3"/>
      <c r="P54" s="3"/>
    </row>
    <row r="55" customFormat="false" ht="15.75" hidden="false" customHeight="true" outlineLevel="0" collapsed="false">
      <c r="A55" s="7" t="s">
        <v>258</v>
      </c>
      <c r="B55" s="8" t="n">
        <v>46146</v>
      </c>
      <c r="C55" s="7" t="s">
        <v>163</v>
      </c>
      <c r="D55" s="7" t="s">
        <v>158</v>
      </c>
      <c r="E55" s="7" t="s">
        <v>159</v>
      </c>
      <c r="F55" s="7"/>
      <c r="G55" s="7" t="s">
        <v>16</v>
      </c>
      <c r="H55" s="7" t="s">
        <v>208</v>
      </c>
      <c r="I55" s="7" t="s">
        <v>88</v>
      </c>
      <c r="J55" s="7" t="s">
        <v>205</v>
      </c>
      <c r="K55" s="7" t="s">
        <v>205</v>
      </c>
      <c r="L55" s="22" t="n">
        <v>0</v>
      </c>
      <c r="M55" s="7" t="s">
        <v>206</v>
      </c>
      <c r="N55" s="3"/>
      <c r="O55" s="3"/>
      <c r="P55" s="3"/>
    </row>
    <row r="56" customFormat="false" ht="15.75" hidden="false" customHeight="true" outlineLevel="0" collapsed="false">
      <c r="A56" s="7" t="s">
        <v>259</v>
      </c>
      <c r="B56" s="8" t="n">
        <v>46168</v>
      </c>
      <c r="C56" s="7" t="s">
        <v>163</v>
      </c>
      <c r="D56" s="7" t="s">
        <v>158</v>
      </c>
      <c r="E56" s="7" t="s">
        <v>159</v>
      </c>
      <c r="F56" s="7"/>
      <c r="G56" s="7" t="s">
        <v>16</v>
      </c>
      <c r="H56" s="7" t="s">
        <v>208</v>
      </c>
      <c r="I56" s="7" t="s">
        <v>93</v>
      </c>
      <c r="J56" s="7" t="s">
        <v>50</v>
      </c>
      <c r="K56" s="7" t="s">
        <v>205</v>
      </c>
      <c r="L56" s="22" t="n">
        <v>24426</v>
      </c>
      <c r="M56" s="7" t="s">
        <v>206</v>
      </c>
      <c r="N56" s="3"/>
      <c r="O56" s="3"/>
      <c r="P56" s="3"/>
    </row>
    <row r="57" customFormat="false" ht="15.75" hidden="false" customHeight="true" outlineLevel="0" collapsed="false">
      <c r="A57" s="7" t="s">
        <v>260</v>
      </c>
      <c r="B57" s="8" t="n">
        <v>46148</v>
      </c>
      <c r="C57" s="7" t="s">
        <v>162</v>
      </c>
      <c r="D57" s="7" t="s">
        <v>158</v>
      </c>
      <c r="E57" s="7" t="s">
        <v>159</v>
      </c>
      <c r="F57" s="7"/>
      <c r="G57" s="7" t="s">
        <v>16</v>
      </c>
      <c r="H57" s="7" t="s">
        <v>211</v>
      </c>
      <c r="I57" s="7" t="s">
        <v>93</v>
      </c>
      <c r="J57" s="7" t="s">
        <v>50</v>
      </c>
      <c r="K57" s="7" t="s">
        <v>205</v>
      </c>
      <c r="L57" s="22" t="n">
        <v>22260</v>
      </c>
      <c r="M57" s="7" t="s">
        <v>206</v>
      </c>
      <c r="N57" s="3"/>
      <c r="O57" s="3"/>
      <c r="P57" s="3"/>
    </row>
    <row r="58" customFormat="false" ht="15.75" hidden="false" customHeight="true" outlineLevel="0" collapsed="false">
      <c r="A58" s="7" t="s">
        <v>261</v>
      </c>
      <c r="B58" s="8" t="n">
        <v>46162</v>
      </c>
      <c r="C58" s="7" t="s">
        <v>162</v>
      </c>
      <c r="D58" s="7" t="s">
        <v>158</v>
      </c>
      <c r="E58" s="7" t="s">
        <v>159</v>
      </c>
      <c r="F58" s="7"/>
      <c r="G58" s="7" t="s">
        <v>16</v>
      </c>
      <c r="H58" s="7" t="s">
        <v>211</v>
      </c>
      <c r="I58" s="7" t="s">
        <v>88</v>
      </c>
      <c r="J58" s="7" t="s">
        <v>205</v>
      </c>
      <c r="K58" s="7" t="s">
        <v>205</v>
      </c>
      <c r="L58" s="22" t="n">
        <v>0</v>
      </c>
      <c r="M58" s="7" t="s">
        <v>206</v>
      </c>
      <c r="N58" s="3"/>
      <c r="O58" s="3"/>
      <c r="P58" s="3"/>
    </row>
    <row r="59" customFormat="false" ht="15.75" hidden="false" customHeight="true" outlineLevel="0" collapsed="false">
      <c r="A59" s="7" t="s">
        <v>262</v>
      </c>
      <c r="B59" s="8" t="n">
        <v>46165</v>
      </c>
      <c r="C59" s="7" t="s">
        <v>161</v>
      </c>
      <c r="D59" s="7" t="s">
        <v>158</v>
      </c>
      <c r="E59" s="7" t="s">
        <v>159</v>
      </c>
      <c r="F59" s="7"/>
      <c r="G59" s="7" t="s">
        <v>16</v>
      </c>
      <c r="H59" s="7" t="s">
        <v>185</v>
      </c>
      <c r="I59" s="7" t="s">
        <v>93</v>
      </c>
      <c r="J59" s="7" t="s">
        <v>50</v>
      </c>
      <c r="K59" s="7" t="s">
        <v>205</v>
      </c>
      <c r="L59" s="22" t="n">
        <v>23801</v>
      </c>
      <c r="M59" s="7" t="s">
        <v>209</v>
      </c>
      <c r="N59" s="3"/>
      <c r="O59" s="3"/>
      <c r="P59" s="3"/>
    </row>
    <row r="60" customFormat="false" ht="15.75" hidden="false" customHeight="true" outlineLevel="0" collapsed="false">
      <c r="A60" s="7" t="s">
        <v>263</v>
      </c>
      <c r="B60" s="8" t="n">
        <v>46164</v>
      </c>
      <c r="C60" s="7" t="s">
        <v>162</v>
      </c>
      <c r="D60" s="7" t="s">
        <v>158</v>
      </c>
      <c r="E60" s="7" t="s">
        <v>159</v>
      </c>
      <c r="F60" s="7"/>
      <c r="G60" s="7" t="s">
        <v>16</v>
      </c>
      <c r="H60" s="7" t="s">
        <v>211</v>
      </c>
      <c r="I60" s="7" t="s">
        <v>107</v>
      </c>
      <c r="J60" s="7" t="s">
        <v>50</v>
      </c>
      <c r="K60" s="7" t="s">
        <v>50</v>
      </c>
      <c r="L60" s="22" t="n">
        <v>10974</v>
      </c>
      <c r="M60" s="7" t="s">
        <v>206</v>
      </c>
      <c r="N60" s="3"/>
      <c r="O60" s="3"/>
      <c r="P60" s="3"/>
    </row>
    <row r="61" customFormat="false" ht="15.75" hidden="false" customHeight="true" outlineLevel="0" collapsed="false">
      <c r="A61" s="7" t="s">
        <v>264</v>
      </c>
      <c r="B61" s="8" t="n">
        <v>46166</v>
      </c>
      <c r="C61" s="7" t="s">
        <v>157</v>
      </c>
      <c r="D61" s="7" t="s">
        <v>158</v>
      </c>
      <c r="E61" s="7" t="s">
        <v>159</v>
      </c>
      <c r="F61" s="7"/>
      <c r="G61" s="7" t="s">
        <v>16</v>
      </c>
      <c r="H61" s="7" t="s">
        <v>183</v>
      </c>
      <c r="I61" s="7" t="s">
        <v>107</v>
      </c>
      <c r="J61" s="7" t="s">
        <v>50</v>
      </c>
      <c r="K61" s="7" t="s">
        <v>50</v>
      </c>
      <c r="L61" s="22" t="n">
        <v>11878</v>
      </c>
      <c r="M61" s="7" t="s">
        <v>206</v>
      </c>
      <c r="N61" s="3"/>
      <c r="O61" s="3"/>
      <c r="P61" s="3"/>
    </row>
    <row r="62" customFormat="false" ht="15.75" hidden="false" customHeight="true" outlineLevel="0" collapsed="false">
      <c r="A62" s="7" t="s">
        <v>265</v>
      </c>
      <c r="B62" s="8" t="n">
        <v>46171</v>
      </c>
      <c r="C62" s="7" t="s">
        <v>162</v>
      </c>
      <c r="D62" s="7" t="s">
        <v>158</v>
      </c>
      <c r="E62" s="7" t="s">
        <v>159</v>
      </c>
      <c r="F62" s="7"/>
      <c r="G62" s="7" t="s">
        <v>16</v>
      </c>
      <c r="H62" s="7" t="s">
        <v>211</v>
      </c>
      <c r="I62" s="7" t="s">
        <v>93</v>
      </c>
      <c r="J62" s="7" t="s">
        <v>50</v>
      </c>
      <c r="K62" s="7" t="s">
        <v>205</v>
      </c>
      <c r="L62" s="22" t="n">
        <v>17111</v>
      </c>
      <c r="M62" s="7" t="s">
        <v>209</v>
      </c>
      <c r="N62" s="3"/>
      <c r="O62" s="3"/>
      <c r="P62" s="3"/>
    </row>
    <row r="63" customFormat="false" ht="15.75" hidden="false" customHeight="true" outlineLevel="0" collapsed="false">
      <c r="A63" s="7" t="s">
        <v>266</v>
      </c>
      <c r="B63" s="8" t="n">
        <v>46147</v>
      </c>
      <c r="C63" s="7" t="s">
        <v>162</v>
      </c>
      <c r="D63" s="7" t="s">
        <v>158</v>
      </c>
      <c r="E63" s="7" t="s">
        <v>159</v>
      </c>
      <c r="F63" s="7"/>
      <c r="G63" s="7" t="s">
        <v>16</v>
      </c>
      <c r="H63" s="7" t="s">
        <v>211</v>
      </c>
      <c r="I63" s="7" t="s">
        <v>88</v>
      </c>
      <c r="J63" s="7" t="s">
        <v>205</v>
      </c>
      <c r="K63" s="7" t="s">
        <v>205</v>
      </c>
      <c r="L63" s="22" t="n">
        <v>0</v>
      </c>
      <c r="M63" s="7" t="s">
        <v>209</v>
      </c>
      <c r="N63" s="3"/>
      <c r="O63" s="3"/>
      <c r="P63" s="3"/>
    </row>
    <row r="64" customFormat="false" ht="15.75" hidden="false" customHeight="true" outlineLevel="0" collapsed="false">
      <c r="A64" s="7" t="s">
        <v>267</v>
      </c>
      <c r="B64" s="8" t="n">
        <v>46173</v>
      </c>
      <c r="C64" s="7" t="s">
        <v>162</v>
      </c>
      <c r="D64" s="7" t="s">
        <v>158</v>
      </c>
      <c r="E64" s="7" t="s">
        <v>159</v>
      </c>
      <c r="F64" s="7"/>
      <c r="G64" s="7" t="s">
        <v>16</v>
      </c>
      <c r="H64" s="7" t="s">
        <v>211</v>
      </c>
      <c r="I64" s="7" t="s">
        <v>88</v>
      </c>
      <c r="J64" s="7" t="s">
        <v>205</v>
      </c>
      <c r="K64" s="7" t="s">
        <v>205</v>
      </c>
      <c r="L64" s="22" t="n">
        <v>0</v>
      </c>
      <c r="M64" s="7" t="s">
        <v>206</v>
      </c>
      <c r="N64" s="3"/>
      <c r="O64" s="3"/>
      <c r="P64" s="3"/>
    </row>
    <row r="65" customFormat="false" ht="15.75" hidden="false" customHeight="true" outlineLevel="0" collapsed="false">
      <c r="A65" s="7" t="s">
        <v>268</v>
      </c>
      <c r="B65" s="8" t="n">
        <v>46147</v>
      </c>
      <c r="C65" s="7" t="s">
        <v>162</v>
      </c>
      <c r="D65" s="7" t="s">
        <v>158</v>
      </c>
      <c r="E65" s="7" t="s">
        <v>159</v>
      </c>
      <c r="F65" s="7"/>
      <c r="G65" s="7" t="s">
        <v>16</v>
      </c>
      <c r="H65" s="7" t="s">
        <v>211</v>
      </c>
      <c r="I65" s="7" t="s">
        <v>88</v>
      </c>
      <c r="J65" s="7" t="s">
        <v>205</v>
      </c>
      <c r="K65" s="7" t="s">
        <v>205</v>
      </c>
      <c r="L65" s="22" t="n">
        <v>0</v>
      </c>
      <c r="M65" s="7" t="s">
        <v>206</v>
      </c>
      <c r="N65" s="3"/>
      <c r="O65" s="3"/>
      <c r="P65" s="3"/>
    </row>
    <row r="66" customFormat="false" ht="15.75" hidden="false" customHeight="true" outlineLevel="0" collapsed="false">
      <c r="A66" s="7" t="s">
        <v>269</v>
      </c>
      <c r="B66" s="8" t="n">
        <v>46148</v>
      </c>
      <c r="C66" s="7" t="s">
        <v>161</v>
      </c>
      <c r="D66" s="7" t="s">
        <v>158</v>
      </c>
      <c r="E66" s="7" t="s">
        <v>159</v>
      </c>
      <c r="F66" s="7"/>
      <c r="G66" s="7" t="s">
        <v>16</v>
      </c>
      <c r="H66" s="7" t="s">
        <v>185</v>
      </c>
      <c r="I66" s="7" t="s">
        <v>88</v>
      </c>
      <c r="J66" s="7" t="s">
        <v>205</v>
      </c>
      <c r="K66" s="7" t="s">
        <v>205</v>
      </c>
      <c r="L66" s="22" t="n">
        <v>0</v>
      </c>
      <c r="M66" s="7" t="s">
        <v>206</v>
      </c>
      <c r="N66" s="3"/>
      <c r="O66" s="3"/>
      <c r="P66" s="3"/>
    </row>
    <row r="67" customFormat="false" ht="15.75" hidden="false" customHeight="true" outlineLevel="0" collapsed="false">
      <c r="A67" s="7" t="s">
        <v>270</v>
      </c>
      <c r="B67" s="8" t="n">
        <v>46173</v>
      </c>
      <c r="C67" s="7" t="s">
        <v>157</v>
      </c>
      <c r="D67" s="7" t="s">
        <v>158</v>
      </c>
      <c r="E67" s="7" t="s">
        <v>159</v>
      </c>
      <c r="F67" s="7"/>
      <c r="G67" s="7" t="s">
        <v>16</v>
      </c>
      <c r="H67" s="7" t="s">
        <v>183</v>
      </c>
      <c r="I67" s="7" t="s">
        <v>88</v>
      </c>
      <c r="J67" s="7" t="s">
        <v>205</v>
      </c>
      <c r="K67" s="7" t="s">
        <v>205</v>
      </c>
      <c r="L67" s="22" t="n">
        <v>0</v>
      </c>
      <c r="M67" s="7" t="s">
        <v>209</v>
      </c>
      <c r="N67" s="3"/>
      <c r="O67" s="3"/>
      <c r="P67" s="3"/>
    </row>
    <row r="68" customFormat="false" ht="15.75" hidden="false" customHeight="true" outlineLevel="0" collapsed="false">
      <c r="A68" s="7" t="s">
        <v>271</v>
      </c>
      <c r="B68" s="8" t="n">
        <v>46170</v>
      </c>
      <c r="C68" s="7" t="s">
        <v>162</v>
      </c>
      <c r="D68" s="7" t="s">
        <v>158</v>
      </c>
      <c r="E68" s="7" t="s">
        <v>159</v>
      </c>
      <c r="F68" s="7"/>
      <c r="G68" s="7" t="s">
        <v>16</v>
      </c>
      <c r="H68" s="7" t="s">
        <v>211</v>
      </c>
      <c r="I68" s="7" t="s">
        <v>107</v>
      </c>
      <c r="J68" s="7" t="s">
        <v>50</v>
      </c>
      <c r="K68" s="7" t="s">
        <v>50</v>
      </c>
      <c r="L68" s="22" t="n">
        <v>9930</v>
      </c>
      <c r="M68" s="7" t="s">
        <v>206</v>
      </c>
      <c r="N68" s="3"/>
      <c r="O68" s="3"/>
      <c r="P68" s="3"/>
    </row>
    <row r="69" customFormat="false" ht="15.75" hidden="false" customHeight="true" outlineLevel="0" collapsed="false">
      <c r="A69" s="7" t="s">
        <v>272</v>
      </c>
      <c r="B69" s="8" t="n">
        <v>46155</v>
      </c>
      <c r="C69" s="7" t="s">
        <v>157</v>
      </c>
      <c r="D69" s="7" t="s">
        <v>158</v>
      </c>
      <c r="E69" s="7" t="s">
        <v>159</v>
      </c>
      <c r="F69" s="7"/>
      <c r="G69" s="7" t="s">
        <v>16</v>
      </c>
      <c r="H69" s="7" t="s">
        <v>183</v>
      </c>
      <c r="I69" s="7" t="s">
        <v>93</v>
      </c>
      <c r="J69" s="7" t="s">
        <v>50</v>
      </c>
      <c r="K69" s="7" t="s">
        <v>205</v>
      </c>
      <c r="L69" s="22" t="n">
        <v>9555</v>
      </c>
      <c r="M69" s="7" t="s">
        <v>209</v>
      </c>
      <c r="N69" s="3"/>
      <c r="O69" s="3"/>
      <c r="P69" s="3"/>
    </row>
    <row r="70" customFormat="false" ht="15.75" hidden="false" customHeight="true" outlineLevel="0" collapsed="false">
      <c r="A70" s="7" t="s">
        <v>273</v>
      </c>
      <c r="B70" s="8" t="n">
        <v>46170</v>
      </c>
      <c r="C70" s="7" t="s">
        <v>161</v>
      </c>
      <c r="D70" s="7" t="s">
        <v>158</v>
      </c>
      <c r="E70" s="7" t="s">
        <v>159</v>
      </c>
      <c r="F70" s="7"/>
      <c r="G70" s="7" t="s">
        <v>16</v>
      </c>
      <c r="H70" s="7" t="s">
        <v>185</v>
      </c>
      <c r="I70" s="7" t="s">
        <v>93</v>
      </c>
      <c r="J70" s="7" t="s">
        <v>50</v>
      </c>
      <c r="K70" s="7" t="s">
        <v>205</v>
      </c>
      <c r="L70" s="22" t="n">
        <v>20045</v>
      </c>
      <c r="M70" s="7" t="s">
        <v>206</v>
      </c>
      <c r="N70" s="3"/>
      <c r="O70" s="3"/>
      <c r="P70" s="3"/>
    </row>
    <row r="71" customFormat="false" ht="15.75" hidden="false" customHeight="true" outlineLevel="0" collapsed="false">
      <c r="A71" s="7" t="s">
        <v>274</v>
      </c>
      <c r="B71" s="8" t="n">
        <v>46163</v>
      </c>
      <c r="C71" s="7" t="s">
        <v>157</v>
      </c>
      <c r="D71" s="7" t="s">
        <v>158</v>
      </c>
      <c r="E71" s="7" t="s">
        <v>159</v>
      </c>
      <c r="F71" s="7"/>
      <c r="G71" s="7" t="s">
        <v>16</v>
      </c>
      <c r="H71" s="7" t="s">
        <v>183</v>
      </c>
      <c r="I71" s="7" t="s">
        <v>88</v>
      </c>
      <c r="J71" s="7" t="s">
        <v>205</v>
      </c>
      <c r="K71" s="7" t="s">
        <v>205</v>
      </c>
      <c r="L71" s="22" t="n">
        <v>0</v>
      </c>
      <c r="M71" s="7" t="s">
        <v>209</v>
      </c>
      <c r="N71" s="3"/>
      <c r="O71" s="3"/>
      <c r="P71" s="3"/>
    </row>
    <row r="72" customFormat="false" ht="15.75" hidden="false" customHeight="true" outlineLevel="0" collapsed="false">
      <c r="A72" s="7" t="s">
        <v>275</v>
      </c>
      <c r="B72" s="8" t="n">
        <v>46166</v>
      </c>
      <c r="C72" s="7" t="s">
        <v>163</v>
      </c>
      <c r="D72" s="7" t="s">
        <v>158</v>
      </c>
      <c r="E72" s="7" t="s">
        <v>159</v>
      </c>
      <c r="F72" s="7"/>
      <c r="G72" s="7" t="s">
        <v>16</v>
      </c>
      <c r="H72" s="7" t="s">
        <v>208</v>
      </c>
      <c r="I72" s="7" t="s">
        <v>93</v>
      </c>
      <c r="J72" s="7" t="s">
        <v>50</v>
      </c>
      <c r="K72" s="7" t="s">
        <v>205</v>
      </c>
      <c r="L72" s="22" t="n">
        <v>22784</v>
      </c>
      <c r="M72" s="7" t="s">
        <v>209</v>
      </c>
      <c r="N72" s="3"/>
      <c r="O72" s="3"/>
      <c r="P72" s="3"/>
    </row>
    <row r="73" customFormat="false" ht="15.75" hidden="false" customHeight="true" outlineLevel="0" collapsed="false">
      <c r="A73" s="7" t="s">
        <v>276</v>
      </c>
      <c r="B73" s="8" t="n">
        <v>46164</v>
      </c>
      <c r="C73" s="7" t="s">
        <v>157</v>
      </c>
      <c r="D73" s="7" t="s">
        <v>158</v>
      </c>
      <c r="E73" s="7" t="s">
        <v>159</v>
      </c>
      <c r="F73" s="7"/>
      <c r="G73" s="7" t="s">
        <v>16</v>
      </c>
      <c r="H73" s="7" t="s">
        <v>183</v>
      </c>
      <c r="I73" s="7" t="s">
        <v>93</v>
      </c>
      <c r="J73" s="7" t="s">
        <v>50</v>
      </c>
      <c r="K73" s="7" t="s">
        <v>205</v>
      </c>
      <c r="L73" s="22" t="n">
        <v>16023</v>
      </c>
      <c r="M73" s="7" t="s">
        <v>206</v>
      </c>
      <c r="N73" s="3"/>
      <c r="O73" s="3"/>
      <c r="P73" s="3"/>
    </row>
    <row r="74" customFormat="false" ht="15.75" hidden="false" customHeight="true" outlineLevel="0" collapsed="false">
      <c r="A74" s="7" t="s">
        <v>277</v>
      </c>
      <c r="B74" s="8" t="n">
        <v>46147</v>
      </c>
      <c r="C74" s="7" t="s">
        <v>161</v>
      </c>
      <c r="D74" s="7" t="s">
        <v>158</v>
      </c>
      <c r="E74" s="7" t="s">
        <v>159</v>
      </c>
      <c r="F74" s="7"/>
      <c r="G74" s="7" t="s">
        <v>16</v>
      </c>
      <c r="H74" s="7" t="s">
        <v>185</v>
      </c>
      <c r="I74" s="7" t="s">
        <v>88</v>
      </c>
      <c r="J74" s="7" t="s">
        <v>205</v>
      </c>
      <c r="K74" s="7" t="s">
        <v>205</v>
      </c>
      <c r="L74" s="22" t="n">
        <v>0</v>
      </c>
      <c r="M74" s="7" t="s">
        <v>206</v>
      </c>
      <c r="N74" s="3"/>
      <c r="O74" s="3"/>
      <c r="P74" s="3"/>
    </row>
    <row r="75" customFormat="false" ht="15.75" hidden="false" customHeight="true" outlineLevel="0" collapsed="false">
      <c r="A75" s="7" t="s">
        <v>278</v>
      </c>
      <c r="B75" s="8" t="n">
        <v>46164</v>
      </c>
      <c r="C75" s="7" t="s">
        <v>157</v>
      </c>
      <c r="D75" s="7" t="s">
        <v>158</v>
      </c>
      <c r="E75" s="7" t="s">
        <v>159</v>
      </c>
      <c r="F75" s="7"/>
      <c r="G75" s="7" t="s">
        <v>16</v>
      </c>
      <c r="H75" s="7" t="s">
        <v>183</v>
      </c>
      <c r="I75" s="7" t="s">
        <v>93</v>
      </c>
      <c r="J75" s="7" t="s">
        <v>50</v>
      </c>
      <c r="K75" s="7" t="s">
        <v>205</v>
      </c>
      <c r="L75" s="22" t="n">
        <v>13686</v>
      </c>
      <c r="M75" s="7" t="s">
        <v>209</v>
      </c>
      <c r="N75" s="3"/>
      <c r="O75" s="3"/>
      <c r="P75" s="3"/>
    </row>
    <row r="76" customFormat="false" ht="15.75" hidden="false" customHeight="true" outlineLevel="0" collapsed="false">
      <c r="A76" s="7" t="s">
        <v>279</v>
      </c>
      <c r="B76" s="8" t="n">
        <v>46162</v>
      </c>
      <c r="C76" s="7" t="s">
        <v>161</v>
      </c>
      <c r="D76" s="7" t="s">
        <v>158</v>
      </c>
      <c r="E76" s="7" t="s">
        <v>159</v>
      </c>
      <c r="F76" s="7"/>
      <c r="G76" s="7" t="s">
        <v>16</v>
      </c>
      <c r="H76" s="7" t="s">
        <v>185</v>
      </c>
      <c r="I76" s="7" t="s">
        <v>93</v>
      </c>
      <c r="J76" s="7" t="s">
        <v>50</v>
      </c>
      <c r="K76" s="7" t="s">
        <v>205</v>
      </c>
      <c r="L76" s="22" t="n">
        <v>10338</v>
      </c>
      <c r="M76" s="7" t="s">
        <v>209</v>
      </c>
      <c r="N76" s="3"/>
      <c r="O76" s="3"/>
      <c r="P76" s="3"/>
    </row>
    <row r="77" customFormat="false" ht="15.75" hidden="false" customHeight="true" outlineLevel="0" collapsed="false">
      <c r="A77" s="7" t="s">
        <v>280</v>
      </c>
      <c r="B77" s="8" t="n">
        <v>46164</v>
      </c>
      <c r="C77" s="7" t="s">
        <v>157</v>
      </c>
      <c r="D77" s="7" t="s">
        <v>158</v>
      </c>
      <c r="E77" s="7" t="s">
        <v>159</v>
      </c>
      <c r="F77" s="7"/>
      <c r="G77" s="7" t="s">
        <v>16</v>
      </c>
      <c r="H77" s="7" t="s">
        <v>183</v>
      </c>
      <c r="I77" s="7" t="s">
        <v>88</v>
      </c>
      <c r="J77" s="7" t="s">
        <v>205</v>
      </c>
      <c r="K77" s="7" t="s">
        <v>205</v>
      </c>
      <c r="L77" s="22" t="n">
        <v>0</v>
      </c>
      <c r="M77" s="7" t="s">
        <v>206</v>
      </c>
      <c r="N77" s="3"/>
      <c r="O77" s="3"/>
      <c r="P77" s="3"/>
    </row>
    <row r="78" customFormat="false" ht="15.75" hidden="false" customHeight="true" outlineLevel="0" collapsed="false">
      <c r="A78" s="7" t="s">
        <v>281</v>
      </c>
      <c r="B78" s="8" t="n">
        <v>46164</v>
      </c>
      <c r="C78" s="7" t="s">
        <v>163</v>
      </c>
      <c r="D78" s="7" t="s">
        <v>158</v>
      </c>
      <c r="E78" s="7" t="s">
        <v>159</v>
      </c>
      <c r="F78" s="7"/>
      <c r="G78" s="7" t="s">
        <v>16</v>
      </c>
      <c r="H78" s="7" t="s">
        <v>208</v>
      </c>
      <c r="I78" s="7" t="s">
        <v>93</v>
      </c>
      <c r="J78" s="7" t="s">
        <v>50</v>
      </c>
      <c r="K78" s="7" t="s">
        <v>205</v>
      </c>
      <c r="L78" s="22" t="n">
        <v>23125</v>
      </c>
      <c r="M78" s="7" t="s">
        <v>209</v>
      </c>
      <c r="N78" s="3"/>
      <c r="O78" s="3"/>
      <c r="P78" s="3"/>
    </row>
    <row r="79" customFormat="false" ht="15.75" hidden="false" customHeight="true" outlineLevel="0" collapsed="false">
      <c r="A79" s="7" t="s">
        <v>282</v>
      </c>
      <c r="B79" s="8" t="n">
        <v>46167</v>
      </c>
      <c r="C79" s="7" t="s">
        <v>157</v>
      </c>
      <c r="D79" s="7" t="s">
        <v>158</v>
      </c>
      <c r="E79" s="7" t="s">
        <v>159</v>
      </c>
      <c r="F79" s="7"/>
      <c r="G79" s="7" t="s">
        <v>16</v>
      </c>
      <c r="H79" s="7" t="s">
        <v>183</v>
      </c>
      <c r="I79" s="7" t="s">
        <v>93</v>
      </c>
      <c r="J79" s="7" t="s">
        <v>50</v>
      </c>
      <c r="K79" s="7" t="s">
        <v>205</v>
      </c>
      <c r="L79" s="22" t="n">
        <v>13568</v>
      </c>
      <c r="M79" s="7" t="s">
        <v>209</v>
      </c>
      <c r="N79" s="3"/>
      <c r="O79" s="3"/>
      <c r="P79" s="3"/>
    </row>
    <row r="80" customFormat="false" ht="15.75" hidden="false" customHeight="true" outlineLevel="0" collapsed="false">
      <c r="A80" s="7" t="s">
        <v>283</v>
      </c>
      <c r="B80" s="8" t="n">
        <v>46154</v>
      </c>
      <c r="C80" s="7" t="s">
        <v>157</v>
      </c>
      <c r="D80" s="7" t="s">
        <v>158</v>
      </c>
      <c r="E80" s="7" t="s">
        <v>159</v>
      </c>
      <c r="F80" s="7"/>
      <c r="G80" s="7" t="s">
        <v>16</v>
      </c>
      <c r="H80" s="7" t="s">
        <v>183</v>
      </c>
      <c r="I80" s="7" t="s">
        <v>93</v>
      </c>
      <c r="J80" s="7" t="s">
        <v>50</v>
      </c>
      <c r="K80" s="7" t="s">
        <v>205</v>
      </c>
      <c r="L80" s="22" t="n">
        <v>24104</v>
      </c>
      <c r="M80" s="7" t="s">
        <v>209</v>
      </c>
      <c r="N80" s="3"/>
      <c r="O80" s="3"/>
      <c r="P80" s="3"/>
    </row>
    <row r="81" customFormat="false" ht="15.75" hidden="false" customHeight="true" outlineLevel="0" collapsed="false">
      <c r="A81" s="7" t="s">
        <v>284</v>
      </c>
      <c r="B81" s="8" t="n">
        <v>46161</v>
      </c>
      <c r="C81" s="7" t="s">
        <v>161</v>
      </c>
      <c r="D81" s="7" t="s">
        <v>158</v>
      </c>
      <c r="E81" s="7" t="s">
        <v>159</v>
      </c>
      <c r="F81" s="7"/>
      <c r="G81" s="7" t="s">
        <v>16</v>
      </c>
      <c r="H81" s="7" t="s">
        <v>185</v>
      </c>
      <c r="I81" s="7" t="s">
        <v>88</v>
      </c>
      <c r="J81" s="7" t="s">
        <v>205</v>
      </c>
      <c r="K81" s="7" t="s">
        <v>205</v>
      </c>
      <c r="L81" s="22" t="n">
        <v>0</v>
      </c>
      <c r="M81" s="7" t="s">
        <v>206</v>
      </c>
      <c r="N81" s="3"/>
      <c r="O81" s="3"/>
      <c r="P81" s="3"/>
    </row>
    <row r="82" customFormat="false" ht="15.75" hidden="false" customHeight="true" outlineLevel="0" collapsed="false">
      <c r="A82" s="7" t="s">
        <v>285</v>
      </c>
      <c r="B82" s="8" t="n">
        <v>46157</v>
      </c>
      <c r="C82" s="7" t="s">
        <v>163</v>
      </c>
      <c r="D82" s="7" t="s">
        <v>158</v>
      </c>
      <c r="E82" s="7" t="s">
        <v>159</v>
      </c>
      <c r="F82" s="7"/>
      <c r="G82" s="7" t="s">
        <v>16</v>
      </c>
      <c r="H82" s="7" t="s">
        <v>208</v>
      </c>
      <c r="I82" s="7" t="s">
        <v>88</v>
      </c>
      <c r="J82" s="7" t="s">
        <v>205</v>
      </c>
      <c r="K82" s="7" t="s">
        <v>205</v>
      </c>
      <c r="L82" s="22" t="n">
        <v>0</v>
      </c>
      <c r="M82" s="7" t="s">
        <v>209</v>
      </c>
      <c r="N82" s="3"/>
      <c r="O82" s="3"/>
      <c r="P82" s="3"/>
    </row>
    <row r="83" customFormat="false" ht="15.75" hidden="false" customHeight="true" outlineLevel="0" collapsed="false">
      <c r="A83" s="7" t="s">
        <v>286</v>
      </c>
      <c r="B83" s="8" t="n">
        <v>46172</v>
      </c>
      <c r="C83" s="7" t="s">
        <v>162</v>
      </c>
      <c r="D83" s="7" t="s">
        <v>158</v>
      </c>
      <c r="E83" s="7" t="s">
        <v>159</v>
      </c>
      <c r="F83" s="7"/>
      <c r="G83" s="7" t="s">
        <v>16</v>
      </c>
      <c r="H83" s="7" t="s">
        <v>211</v>
      </c>
      <c r="I83" s="7" t="s">
        <v>93</v>
      </c>
      <c r="J83" s="7" t="s">
        <v>50</v>
      </c>
      <c r="K83" s="7" t="s">
        <v>205</v>
      </c>
      <c r="L83" s="22" t="n">
        <v>18365</v>
      </c>
      <c r="M83" s="7" t="s">
        <v>209</v>
      </c>
      <c r="N83" s="3"/>
      <c r="O83" s="3"/>
      <c r="P83" s="3"/>
    </row>
    <row r="84" customFormat="false" ht="15.75" hidden="false" customHeight="true" outlineLevel="0" collapsed="false">
      <c r="A84" s="7" t="s">
        <v>287</v>
      </c>
      <c r="B84" s="8" t="n">
        <v>46145</v>
      </c>
      <c r="C84" s="7" t="s">
        <v>157</v>
      </c>
      <c r="D84" s="7" t="s">
        <v>158</v>
      </c>
      <c r="E84" s="7" t="s">
        <v>159</v>
      </c>
      <c r="F84" s="7"/>
      <c r="G84" s="7" t="s">
        <v>16</v>
      </c>
      <c r="H84" s="7" t="s">
        <v>183</v>
      </c>
      <c r="I84" s="7" t="s">
        <v>93</v>
      </c>
      <c r="J84" s="7" t="s">
        <v>50</v>
      </c>
      <c r="K84" s="7" t="s">
        <v>205</v>
      </c>
      <c r="L84" s="22" t="n">
        <v>12074</v>
      </c>
      <c r="M84" s="7" t="s">
        <v>206</v>
      </c>
      <c r="N84" s="3"/>
      <c r="O84" s="3"/>
      <c r="P84" s="3"/>
    </row>
    <row r="85" customFormat="false" ht="15.75" hidden="false" customHeight="true" outlineLevel="0" collapsed="false">
      <c r="A85" s="7" t="s">
        <v>288</v>
      </c>
      <c r="B85" s="8" t="n">
        <v>46162</v>
      </c>
      <c r="C85" s="7" t="s">
        <v>163</v>
      </c>
      <c r="D85" s="7" t="s">
        <v>158</v>
      </c>
      <c r="E85" s="7" t="s">
        <v>159</v>
      </c>
      <c r="F85" s="7"/>
      <c r="G85" s="7" t="s">
        <v>16</v>
      </c>
      <c r="H85" s="7" t="s">
        <v>208</v>
      </c>
      <c r="I85" s="7" t="s">
        <v>107</v>
      </c>
      <c r="J85" s="7" t="s">
        <v>50</v>
      </c>
      <c r="K85" s="7" t="s">
        <v>50</v>
      </c>
      <c r="L85" s="22" t="n">
        <v>14410</v>
      </c>
      <c r="M85" s="7" t="s">
        <v>209</v>
      </c>
      <c r="N85" s="3"/>
      <c r="O85" s="3"/>
      <c r="P85" s="3"/>
    </row>
    <row r="86" customFormat="false" ht="15.75" hidden="false" customHeight="true" outlineLevel="0" collapsed="false">
      <c r="A86" s="7" t="s">
        <v>289</v>
      </c>
      <c r="B86" s="8" t="n">
        <v>46150</v>
      </c>
      <c r="C86" s="7" t="s">
        <v>162</v>
      </c>
      <c r="D86" s="7" t="s">
        <v>158</v>
      </c>
      <c r="E86" s="7" t="s">
        <v>159</v>
      </c>
      <c r="F86" s="7"/>
      <c r="G86" s="7" t="s">
        <v>16</v>
      </c>
      <c r="H86" s="7" t="s">
        <v>211</v>
      </c>
      <c r="I86" s="7" t="s">
        <v>93</v>
      </c>
      <c r="J86" s="7" t="s">
        <v>50</v>
      </c>
      <c r="K86" s="7" t="s">
        <v>205</v>
      </c>
      <c r="L86" s="22" t="n">
        <v>17553</v>
      </c>
      <c r="M86" s="7" t="s">
        <v>209</v>
      </c>
      <c r="N86" s="3"/>
      <c r="O86" s="3"/>
      <c r="P86" s="3"/>
    </row>
    <row r="87" customFormat="false" ht="15.75" hidden="false" customHeight="true" outlineLevel="0" collapsed="false">
      <c r="A87" s="7" t="s">
        <v>290</v>
      </c>
      <c r="B87" s="8" t="n">
        <v>46158</v>
      </c>
      <c r="C87" s="7" t="s">
        <v>162</v>
      </c>
      <c r="D87" s="7" t="s">
        <v>158</v>
      </c>
      <c r="E87" s="7" t="s">
        <v>159</v>
      </c>
      <c r="F87" s="7"/>
      <c r="G87" s="7" t="s">
        <v>16</v>
      </c>
      <c r="H87" s="7" t="s">
        <v>211</v>
      </c>
      <c r="I87" s="7" t="s">
        <v>93</v>
      </c>
      <c r="J87" s="7" t="s">
        <v>50</v>
      </c>
      <c r="K87" s="7" t="s">
        <v>205</v>
      </c>
      <c r="L87" s="22" t="n">
        <v>21373</v>
      </c>
      <c r="M87" s="7" t="s">
        <v>209</v>
      </c>
      <c r="N87" s="3"/>
      <c r="O87" s="3"/>
      <c r="P87" s="3"/>
    </row>
    <row r="88" customFormat="false" ht="15.75" hidden="false" customHeight="true" outlineLevel="0" collapsed="false">
      <c r="A88" s="7" t="s">
        <v>291</v>
      </c>
      <c r="B88" s="8" t="n">
        <v>46171</v>
      </c>
      <c r="C88" s="7" t="s">
        <v>162</v>
      </c>
      <c r="D88" s="7" t="s">
        <v>158</v>
      </c>
      <c r="E88" s="7" t="s">
        <v>159</v>
      </c>
      <c r="F88" s="7"/>
      <c r="G88" s="7" t="s">
        <v>16</v>
      </c>
      <c r="H88" s="7" t="s">
        <v>211</v>
      </c>
      <c r="I88" s="7" t="s">
        <v>88</v>
      </c>
      <c r="J88" s="7" t="s">
        <v>205</v>
      </c>
      <c r="K88" s="7" t="s">
        <v>205</v>
      </c>
      <c r="L88" s="22" t="n">
        <v>0</v>
      </c>
      <c r="M88" s="7" t="s">
        <v>206</v>
      </c>
      <c r="N88" s="3"/>
      <c r="O88" s="3"/>
      <c r="P88" s="3"/>
    </row>
    <row r="89" customFormat="false" ht="15.75" hidden="false" customHeight="true" outlineLevel="0" collapsed="false">
      <c r="A89" s="7" t="s">
        <v>292</v>
      </c>
      <c r="B89" s="8" t="n">
        <v>46170</v>
      </c>
      <c r="C89" s="7" t="s">
        <v>162</v>
      </c>
      <c r="D89" s="7" t="s">
        <v>158</v>
      </c>
      <c r="E89" s="7" t="s">
        <v>159</v>
      </c>
      <c r="F89" s="7"/>
      <c r="G89" s="7" t="s">
        <v>16</v>
      </c>
      <c r="H89" s="7" t="s">
        <v>211</v>
      </c>
      <c r="I89" s="7" t="s">
        <v>88</v>
      </c>
      <c r="J89" s="7" t="s">
        <v>205</v>
      </c>
      <c r="K89" s="7" t="s">
        <v>205</v>
      </c>
      <c r="L89" s="22" t="n">
        <v>0</v>
      </c>
      <c r="M89" s="7" t="s">
        <v>206</v>
      </c>
      <c r="N89" s="3"/>
      <c r="O89" s="3"/>
      <c r="P89" s="3"/>
    </row>
    <row r="90" customFormat="false" ht="15.75" hidden="false" customHeight="true" outlineLevel="0" collapsed="false">
      <c r="A90" s="7" t="s">
        <v>293</v>
      </c>
      <c r="B90" s="8" t="n">
        <v>46154</v>
      </c>
      <c r="C90" s="7" t="s">
        <v>161</v>
      </c>
      <c r="D90" s="7" t="s">
        <v>158</v>
      </c>
      <c r="E90" s="7" t="s">
        <v>159</v>
      </c>
      <c r="F90" s="7"/>
      <c r="G90" s="7" t="s">
        <v>16</v>
      </c>
      <c r="H90" s="7" t="s">
        <v>185</v>
      </c>
      <c r="I90" s="7" t="s">
        <v>107</v>
      </c>
      <c r="J90" s="7" t="s">
        <v>50</v>
      </c>
      <c r="K90" s="7" t="s">
        <v>50</v>
      </c>
      <c r="L90" s="22" t="n">
        <v>13171</v>
      </c>
      <c r="M90" s="7" t="s">
        <v>206</v>
      </c>
      <c r="N90" s="3"/>
      <c r="O90" s="3"/>
      <c r="P90" s="3"/>
    </row>
    <row r="91" customFormat="false" ht="15.75" hidden="false" customHeight="true" outlineLevel="0" collapsed="false">
      <c r="A91" s="7" t="s">
        <v>294</v>
      </c>
      <c r="B91" s="8" t="n">
        <v>46162</v>
      </c>
      <c r="C91" s="7" t="s">
        <v>163</v>
      </c>
      <c r="D91" s="7" t="s">
        <v>158</v>
      </c>
      <c r="E91" s="7" t="s">
        <v>159</v>
      </c>
      <c r="F91" s="7"/>
      <c r="G91" s="7" t="s">
        <v>16</v>
      </c>
      <c r="H91" s="7" t="s">
        <v>208</v>
      </c>
      <c r="I91" s="7" t="s">
        <v>107</v>
      </c>
      <c r="J91" s="7" t="s">
        <v>50</v>
      </c>
      <c r="K91" s="7" t="s">
        <v>50</v>
      </c>
      <c r="L91" s="22" t="n">
        <v>18240</v>
      </c>
      <c r="M91" s="7" t="s">
        <v>209</v>
      </c>
      <c r="N91" s="3"/>
      <c r="O91" s="3"/>
      <c r="P91" s="3"/>
    </row>
    <row r="92" customFormat="false" ht="15.75" hidden="false" customHeight="true" outlineLevel="0" collapsed="false">
      <c r="A92" s="7" t="s">
        <v>295</v>
      </c>
      <c r="B92" s="8" t="n">
        <v>46144</v>
      </c>
      <c r="C92" s="7" t="s">
        <v>163</v>
      </c>
      <c r="D92" s="7" t="s">
        <v>158</v>
      </c>
      <c r="E92" s="7" t="s">
        <v>159</v>
      </c>
      <c r="F92" s="7"/>
      <c r="G92" s="7" t="s">
        <v>16</v>
      </c>
      <c r="H92" s="7" t="s">
        <v>208</v>
      </c>
      <c r="I92" s="7" t="s">
        <v>107</v>
      </c>
      <c r="J92" s="7" t="s">
        <v>50</v>
      </c>
      <c r="K92" s="7" t="s">
        <v>50</v>
      </c>
      <c r="L92" s="22" t="n">
        <v>8746</v>
      </c>
      <c r="M92" s="7" t="s">
        <v>209</v>
      </c>
      <c r="N92" s="3"/>
      <c r="O92" s="3"/>
      <c r="P92" s="3"/>
    </row>
    <row r="93" customFormat="false" ht="15.75" hidden="false" customHeight="true" outlineLevel="0" collapsed="false">
      <c r="A93" s="7" t="s">
        <v>296</v>
      </c>
      <c r="B93" s="8" t="n">
        <v>46146</v>
      </c>
      <c r="C93" s="7" t="s">
        <v>161</v>
      </c>
      <c r="D93" s="7" t="s">
        <v>158</v>
      </c>
      <c r="E93" s="7" t="s">
        <v>159</v>
      </c>
      <c r="F93" s="7"/>
      <c r="G93" s="7" t="s">
        <v>16</v>
      </c>
      <c r="H93" s="7" t="s">
        <v>185</v>
      </c>
      <c r="I93" s="7" t="s">
        <v>93</v>
      </c>
      <c r="J93" s="7" t="s">
        <v>50</v>
      </c>
      <c r="K93" s="7" t="s">
        <v>205</v>
      </c>
      <c r="L93" s="22" t="n">
        <v>22005</v>
      </c>
      <c r="M93" s="7" t="s">
        <v>209</v>
      </c>
      <c r="N93" s="3"/>
      <c r="O93" s="3"/>
      <c r="P93" s="3"/>
    </row>
    <row r="94" customFormat="false" ht="15.75" hidden="false" customHeight="true" outlineLevel="0" collapsed="false">
      <c r="A94" s="7" t="s">
        <v>297</v>
      </c>
      <c r="B94" s="8" t="n">
        <v>46170</v>
      </c>
      <c r="C94" s="7" t="s">
        <v>161</v>
      </c>
      <c r="D94" s="7" t="s">
        <v>158</v>
      </c>
      <c r="E94" s="7" t="s">
        <v>159</v>
      </c>
      <c r="F94" s="7"/>
      <c r="G94" s="7" t="s">
        <v>16</v>
      </c>
      <c r="H94" s="7" t="s">
        <v>185</v>
      </c>
      <c r="I94" s="7" t="s">
        <v>88</v>
      </c>
      <c r="J94" s="7" t="s">
        <v>205</v>
      </c>
      <c r="K94" s="7" t="s">
        <v>205</v>
      </c>
      <c r="L94" s="22" t="n">
        <v>0</v>
      </c>
      <c r="M94" s="7" t="s">
        <v>209</v>
      </c>
      <c r="N94" s="3"/>
      <c r="O94" s="3"/>
      <c r="P94" s="3"/>
    </row>
    <row r="95" customFormat="false" ht="15.75" hidden="false" customHeight="true" outlineLevel="0" collapsed="false">
      <c r="A95" s="7" t="s">
        <v>298</v>
      </c>
      <c r="B95" s="8" t="n">
        <v>46171</v>
      </c>
      <c r="C95" s="7" t="s">
        <v>162</v>
      </c>
      <c r="D95" s="7" t="s">
        <v>158</v>
      </c>
      <c r="E95" s="7" t="s">
        <v>159</v>
      </c>
      <c r="F95" s="7"/>
      <c r="G95" s="7" t="s">
        <v>16</v>
      </c>
      <c r="H95" s="7" t="s">
        <v>211</v>
      </c>
      <c r="I95" s="7" t="s">
        <v>93</v>
      </c>
      <c r="J95" s="7" t="s">
        <v>50</v>
      </c>
      <c r="K95" s="7" t="s">
        <v>205</v>
      </c>
      <c r="L95" s="22" t="n">
        <v>10476</v>
      </c>
      <c r="M95" s="7" t="s">
        <v>209</v>
      </c>
      <c r="N95" s="3"/>
      <c r="O95" s="3"/>
      <c r="P95" s="3"/>
    </row>
    <row r="96" customFormat="false" ht="15.75" hidden="false" customHeight="true" outlineLevel="0" collapsed="false">
      <c r="A96" s="7" t="s">
        <v>299</v>
      </c>
      <c r="B96" s="8" t="n">
        <v>46146</v>
      </c>
      <c r="C96" s="7" t="s">
        <v>161</v>
      </c>
      <c r="D96" s="7" t="s">
        <v>158</v>
      </c>
      <c r="E96" s="7" t="s">
        <v>159</v>
      </c>
      <c r="F96" s="7"/>
      <c r="G96" s="7" t="s">
        <v>16</v>
      </c>
      <c r="H96" s="7" t="s">
        <v>185</v>
      </c>
      <c r="I96" s="7" t="s">
        <v>93</v>
      </c>
      <c r="J96" s="7" t="s">
        <v>50</v>
      </c>
      <c r="K96" s="7" t="s">
        <v>205</v>
      </c>
      <c r="L96" s="22" t="n">
        <v>8039</v>
      </c>
      <c r="M96" s="7" t="s">
        <v>206</v>
      </c>
      <c r="N96" s="3"/>
      <c r="O96" s="3"/>
      <c r="P96" s="3"/>
    </row>
    <row r="97" customFormat="false" ht="15.75" hidden="false" customHeight="true" outlineLevel="0" collapsed="false">
      <c r="A97" s="7" t="s">
        <v>300</v>
      </c>
      <c r="B97" s="8" t="n">
        <v>46144</v>
      </c>
      <c r="C97" s="7" t="s">
        <v>163</v>
      </c>
      <c r="D97" s="7" t="s">
        <v>158</v>
      </c>
      <c r="E97" s="7" t="s">
        <v>159</v>
      </c>
      <c r="F97" s="7"/>
      <c r="G97" s="7" t="s">
        <v>16</v>
      </c>
      <c r="H97" s="7" t="s">
        <v>208</v>
      </c>
      <c r="I97" s="7" t="s">
        <v>88</v>
      </c>
      <c r="J97" s="7" t="s">
        <v>205</v>
      </c>
      <c r="K97" s="7" t="s">
        <v>205</v>
      </c>
      <c r="L97" s="22" t="n">
        <v>0</v>
      </c>
      <c r="M97" s="7" t="s">
        <v>209</v>
      </c>
      <c r="N97" s="3"/>
      <c r="O97" s="3"/>
      <c r="P97" s="3"/>
    </row>
    <row r="98" customFormat="false" ht="15.75" hidden="false" customHeight="true" outlineLevel="0" collapsed="false">
      <c r="A98" s="7" t="s">
        <v>301</v>
      </c>
      <c r="B98" s="8" t="n">
        <v>46143</v>
      </c>
      <c r="C98" s="7" t="s">
        <v>163</v>
      </c>
      <c r="D98" s="7" t="s">
        <v>158</v>
      </c>
      <c r="E98" s="7" t="s">
        <v>159</v>
      </c>
      <c r="F98" s="7"/>
      <c r="G98" s="7" t="s">
        <v>16</v>
      </c>
      <c r="H98" s="7" t="s">
        <v>208</v>
      </c>
      <c r="I98" s="7" t="s">
        <v>107</v>
      </c>
      <c r="J98" s="7" t="s">
        <v>50</v>
      </c>
      <c r="K98" s="7" t="s">
        <v>50</v>
      </c>
      <c r="L98" s="22" t="n">
        <v>8137</v>
      </c>
      <c r="M98" s="7" t="s">
        <v>209</v>
      </c>
      <c r="N98" s="3"/>
      <c r="O98" s="3"/>
      <c r="P98" s="3"/>
    </row>
    <row r="99" customFormat="false" ht="15.75" hidden="false" customHeight="true" outlineLevel="0" collapsed="false">
      <c r="A99" s="7" t="s">
        <v>302</v>
      </c>
      <c r="B99" s="8" t="n">
        <v>46164</v>
      </c>
      <c r="C99" s="7" t="s">
        <v>157</v>
      </c>
      <c r="D99" s="7" t="s">
        <v>158</v>
      </c>
      <c r="E99" s="7" t="s">
        <v>159</v>
      </c>
      <c r="F99" s="7"/>
      <c r="G99" s="7" t="s">
        <v>16</v>
      </c>
      <c r="H99" s="7" t="s">
        <v>183</v>
      </c>
      <c r="I99" s="7" t="s">
        <v>93</v>
      </c>
      <c r="J99" s="7" t="s">
        <v>50</v>
      </c>
      <c r="K99" s="7" t="s">
        <v>205</v>
      </c>
      <c r="L99" s="22" t="n">
        <v>21582</v>
      </c>
      <c r="M99" s="7" t="s">
        <v>209</v>
      </c>
      <c r="N99" s="3"/>
      <c r="O99" s="3"/>
      <c r="P99" s="3"/>
    </row>
    <row r="100" customFormat="false" ht="15.75" hidden="false" customHeight="true" outlineLevel="0" collapsed="false">
      <c r="A100" s="7" t="s">
        <v>303</v>
      </c>
      <c r="B100" s="8" t="n">
        <v>46166</v>
      </c>
      <c r="C100" s="7" t="s">
        <v>161</v>
      </c>
      <c r="D100" s="7" t="s">
        <v>158</v>
      </c>
      <c r="E100" s="7" t="s">
        <v>159</v>
      </c>
      <c r="F100" s="7"/>
      <c r="G100" s="7" t="s">
        <v>16</v>
      </c>
      <c r="H100" s="7" t="s">
        <v>185</v>
      </c>
      <c r="I100" s="7" t="s">
        <v>93</v>
      </c>
      <c r="J100" s="7" t="s">
        <v>50</v>
      </c>
      <c r="K100" s="7" t="s">
        <v>205</v>
      </c>
      <c r="L100" s="22" t="n">
        <v>17033</v>
      </c>
      <c r="M100" s="7" t="s">
        <v>209</v>
      </c>
      <c r="N100" s="3"/>
      <c r="O100" s="3"/>
      <c r="P100" s="3"/>
    </row>
    <row r="101" customFormat="false" ht="15.75" hidden="false" customHeight="true" outlineLevel="0" collapsed="false">
      <c r="A101" s="7" t="s">
        <v>304</v>
      </c>
      <c r="B101" s="8" t="n">
        <v>46165</v>
      </c>
      <c r="C101" s="7" t="s">
        <v>162</v>
      </c>
      <c r="D101" s="7" t="s">
        <v>158</v>
      </c>
      <c r="E101" s="7" t="s">
        <v>159</v>
      </c>
      <c r="F101" s="7"/>
      <c r="G101" s="7" t="s">
        <v>16</v>
      </c>
      <c r="H101" s="7" t="s">
        <v>211</v>
      </c>
      <c r="I101" s="7" t="s">
        <v>93</v>
      </c>
      <c r="J101" s="7" t="s">
        <v>50</v>
      </c>
      <c r="K101" s="7" t="s">
        <v>205</v>
      </c>
      <c r="L101" s="22" t="n">
        <v>20020</v>
      </c>
      <c r="M101" s="7" t="s">
        <v>206</v>
      </c>
      <c r="N101" s="3"/>
      <c r="O101" s="3"/>
      <c r="P101" s="3"/>
    </row>
    <row r="102" customFormat="false" ht="15.75" hidden="false" customHeight="true" outlineLevel="0" collapsed="false">
      <c r="A102" s="7" t="s">
        <v>305</v>
      </c>
      <c r="B102" s="8" t="n">
        <v>46149</v>
      </c>
      <c r="C102" s="7" t="s">
        <v>157</v>
      </c>
      <c r="D102" s="7" t="s">
        <v>158</v>
      </c>
      <c r="E102" s="7" t="s">
        <v>159</v>
      </c>
      <c r="F102" s="7"/>
      <c r="G102" s="7" t="s">
        <v>16</v>
      </c>
      <c r="H102" s="7" t="s">
        <v>183</v>
      </c>
      <c r="I102" s="7" t="s">
        <v>107</v>
      </c>
      <c r="J102" s="7" t="s">
        <v>50</v>
      </c>
      <c r="K102" s="7" t="s">
        <v>50</v>
      </c>
      <c r="L102" s="22" t="n">
        <v>23979</v>
      </c>
      <c r="M102" s="7" t="s">
        <v>206</v>
      </c>
      <c r="N102" s="3"/>
      <c r="O102" s="3"/>
      <c r="P102" s="3"/>
    </row>
    <row r="103" customFormat="false" ht="15.75" hidden="false" customHeight="true" outlineLevel="0" collapsed="false">
      <c r="A103" s="7" t="s">
        <v>306</v>
      </c>
      <c r="B103" s="8" t="n">
        <v>46158</v>
      </c>
      <c r="C103" s="7" t="s">
        <v>161</v>
      </c>
      <c r="D103" s="7" t="s">
        <v>158</v>
      </c>
      <c r="E103" s="7" t="s">
        <v>159</v>
      </c>
      <c r="F103" s="7"/>
      <c r="G103" s="7" t="s">
        <v>16</v>
      </c>
      <c r="H103" s="7" t="s">
        <v>185</v>
      </c>
      <c r="I103" s="7" t="s">
        <v>88</v>
      </c>
      <c r="J103" s="7" t="s">
        <v>205</v>
      </c>
      <c r="K103" s="7" t="s">
        <v>205</v>
      </c>
      <c r="L103" s="22" t="n">
        <v>0</v>
      </c>
      <c r="M103" s="7" t="s">
        <v>209</v>
      </c>
      <c r="N103" s="3"/>
      <c r="O103" s="3"/>
      <c r="P103" s="3"/>
    </row>
    <row r="104" customFormat="false" ht="15.75" hidden="false" customHeight="true" outlineLevel="0" collapsed="false">
      <c r="A104" s="7" t="s">
        <v>307</v>
      </c>
      <c r="B104" s="8" t="n">
        <v>46162</v>
      </c>
      <c r="C104" s="7" t="s">
        <v>163</v>
      </c>
      <c r="D104" s="7" t="s">
        <v>158</v>
      </c>
      <c r="E104" s="7" t="s">
        <v>159</v>
      </c>
      <c r="F104" s="7"/>
      <c r="G104" s="7" t="s">
        <v>16</v>
      </c>
      <c r="H104" s="7" t="s">
        <v>208</v>
      </c>
      <c r="I104" s="7" t="s">
        <v>88</v>
      </c>
      <c r="J104" s="7" t="s">
        <v>205</v>
      </c>
      <c r="K104" s="7" t="s">
        <v>205</v>
      </c>
      <c r="L104" s="22" t="n">
        <v>0</v>
      </c>
      <c r="M104" s="7" t="s">
        <v>209</v>
      </c>
      <c r="N104" s="3"/>
      <c r="O104" s="3"/>
      <c r="P104" s="3"/>
    </row>
    <row r="105" customFormat="false" ht="15.75" hidden="false" customHeight="true" outlineLevel="0" collapsed="false">
      <c r="A105" s="7" t="s">
        <v>308</v>
      </c>
      <c r="B105" s="8" t="n">
        <v>46151</v>
      </c>
      <c r="C105" s="7" t="s">
        <v>161</v>
      </c>
      <c r="D105" s="7" t="s">
        <v>158</v>
      </c>
      <c r="E105" s="7" t="s">
        <v>159</v>
      </c>
      <c r="F105" s="7"/>
      <c r="G105" s="7" t="s">
        <v>16</v>
      </c>
      <c r="H105" s="7" t="s">
        <v>185</v>
      </c>
      <c r="I105" s="7" t="s">
        <v>107</v>
      </c>
      <c r="J105" s="7" t="s">
        <v>50</v>
      </c>
      <c r="K105" s="7" t="s">
        <v>50</v>
      </c>
      <c r="L105" s="22" t="n">
        <v>8936</v>
      </c>
      <c r="M105" s="7" t="s">
        <v>206</v>
      </c>
      <c r="N105" s="3"/>
      <c r="O105" s="3"/>
      <c r="P105" s="3"/>
    </row>
    <row r="106" customFormat="false" ht="15.75" hidden="false" customHeight="true" outlineLevel="0" collapsed="false">
      <c r="A106" s="7" t="s">
        <v>309</v>
      </c>
      <c r="B106" s="8" t="n">
        <v>46158</v>
      </c>
      <c r="C106" s="7" t="s">
        <v>163</v>
      </c>
      <c r="D106" s="7" t="s">
        <v>158</v>
      </c>
      <c r="E106" s="7" t="s">
        <v>159</v>
      </c>
      <c r="F106" s="7"/>
      <c r="G106" s="7" t="s">
        <v>16</v>
      </c>
      <c r="H106" s="7" t="s">
        <v>208</v>
      </c>
      <c r="I106" s="7" t="s">
        <v>93</v>
      </c>
      <c r="J106" s="7" t="s">
        <v>50</v>
      </c>
      <c r="K106" s="7" t="s">
        <v>205</v>
      </c>
      <c r="L106" s="22" t="n">
        <v>18280</v>
      </c>
      <c r="M106" s="7" t="s">
        <v>209</v>
      </c>
      <c r="N106" s="3"/>
      <c r="O106" s="3"/>
      <c r="P106" s="3"/>
    </row>
    <row r="107" customFormat="false" ht="15.75" hidden="false" customHeight="true" outlineLevel="0" collapsed="false">
      <c r="A107" s="7" t="s">
        <v>310</v>
      </c>
      <c r="B107" s="8" t="n">
        <v>46169</v>
      </c>
      <c r="C107" s="7" t="s">
        <v>161</v>
      </c>
      <c r="D107" s="7" t="s">
        <v>158</v>
      </c>
      <c r="E107" s="7" t="s">
        <v>159</v>
      </c>
      <c r="F107" s="7"/>
      <c r="G107" s="7" t="s">
        <v>16</v>
      </c>
      <c r="H107" s="7" t="s">
        <v>185</v>
      </c>
      <c r="I107" s="7" t="s">
        <v>107</v>
      </c>
      <c r="J107" s="7" t="s">
        <v>50</v>
      </c>
      <c r="K107" s="7" t="s">
        <v>50</v>
      </c>
      <c r="L107" s="22" t="n">
        <v>8969</v>
      </c>
      <c r="M107" s="7" t="s">
        <v>209</v>
      </c>
      <c r="N107" s="3"/>
      <c r="O107" s="3"/>
      <c r="P107" s="3"/>
    </row>
    <row r="108" customFormat="false" ht="15.75" hidden="false" customHeight="true" outlineLevel="0" collapsed="false">
      <c r="A108" s="7" t="s">
        <v>311</v>
      </c>
      <c r="B108" s="8" t="n">
        <v>46162</v>
      </c>
      <c r="C108" s="7" t="s">
        <v>157</v>
      </c>
      <c r="D108" s="7" t="s">
        <v>158</v>
      </c>
      <c r="E108" s="7" t="s">
        <v>159</v>
      </c>
      <c r="F108" s="7"/>
      <c r="G108" s="7" t="s">
        <v>16</v>
      </c>
      <c r="H108" s="7" t="s">
        <v>183</v>
      </c>
      <c r="I108" s="7" t="s">
        <v>107</v>
      </c>
      <c r="J108" s="7" t="s">
        <v>50</v>
      </c>
      <c r="K108" s="7" t="s">
        <v>50</v>
      </c>
      <c r="L108" s="22" t="n">
        <v>18562</v>
      </c>
      <c r="M108" s="7" t="s">
        <v>206</v>
      </c>
      <c r="N108" s="3"/>
      <c r="O108" s="3"/>
      <c r="P108" s="3"/>
    </row>
    <row r="109" customFormat="false" ht="15.75" hidden="false" customHeight="true" outlineLevel="0" collapsed="false">
      <c r="A109" s="7" t="s">
        <v>312</v>
      </c>
      <c r="B109" s="8" t="n">
        <v>46150</v>
      </c>
      <c r="C109" s="7" t="s">
        <v>162</v>
      </c>
      <c r="D109" s="7" t="s">
        <v>158</v>
      </c>
      <c r="E109" s="7" t="s">
        <v>159</v>
      </c>
      <c r="F109" s="7"/>
      <c r="G109" s="7" t="s">
        <v>16</v>
      </c>
      <c r="H109" s="7" t="s">
        <v>211</v>
      </c>
      <c r="I109" s="7" t="s">
        <v>93</v>
      </c>
      <c r="J109" s="7" t="s">
        <v>50</v>
      </c>
      <c r="K109" s="7" t="s">
        <v>205</v>
      </c>
      <c r="L109" s="22" t="n">
        <v>11502</v>
      </c>
      <c r="M109" s="7" t="s">
        <v>206</v>
      </c>
      <c r="N109" s="3"/>
      <c r="O109" s="3"/>
      <c r="P109" s="3"/>
    </row>
    <row r="110" customFormat="false" ht="15.75" hidden="false" customHeight="true" outlineLevel="0" collapsed="false">
      <c r="A110" s="7" t="s">
        <v>313</v>
      </c>
      <c r="B110" s="8" t="n">
        <v>46160</v>
      </c>
      <c r="C110" s="7" t="s">
        <v>163</v>
      </c>
      <c r="D110" s="7" t="s">
        <v>158</v>
      </c>
      <c r="E110" s="7" t="s">
        <v>159</v>
      </c>
      <c r="F110" s="7"/>
      <c r="G110" s="7" t="s">
        <v>16</v>
      </c>
      <c r="H110" s="7" t="s">
        <v>208</v>
      </c>
      <c r="I110" s="7" t="s">
        <v>93</v>
      </c>
      <c r="J110" s="7" t="s">
        <v>50</v>
      </c>
      <c r="K110" s="7" t="s">
        <v>205</v>
      </c>
      <c r="L110" s="22" t="n">
        <v>15082</v>
      </c>
      <c r="M110" s="7" t="s">
        <v>206</v>
      </c>
      <c r="N110" s="3"/>
      <c r="O110" s="3"/>
      <c r="P110" s="3"/>
    </row>
    <row r="111" customFormat="false" ht="15.75" hidden="false" customHeight="true" outlineLevel="0" collapsed="false">
      <c r="A111" s="7" t="s">
        <v>314</v>
      </c>
      <c r="B111" s="8" t="n">
        <v>46148</v>
      </c>
      <c r="C111" s="7" t="s">
        <v>162</v>
      </c>
      <c r="D111" s="7" t="s">
        <v>158</v>
      </c>
      <c r="E111" s="7" t="s">
        <v>159</v>
      </c>
      <c r="F111" s="7"/>
      <c r="G111" s="7" t="s">
        <v>16</v>
      </c>
      <c r="H111" s="7" t="s">
        <v>211</v>
      </c>
      <c r="I111" s="7" t="s">
        <v>107</v>
      </c>
      <c r="J111" s="7" t="s">
        <v>50</v>
      </c>
      <c r="K111" s="7" t="s">
        <v>50</v>
      </c>
      <c r="L111" s="22" t="n">
        <v>19587</v>
      </c>
      <c r="M111" s="7" t="s">
        <v>206</v>
      </c>
      <c r="N111" s="3"/>
      <c r="O111" s="3"/>
      <c r="P111" s="3"/>
    </row>
    <row r="112" customFormat="false" ht="15.75" hidden="false" customHeight="true" outlineLevel="0" collapsed="false">
      <c r="A112" s="7" t="s">
        <v>315</v>
      </c>
      <c r="B112" s="8" t="n">
        <v>46170</v>
      </c>
      <c r="C112" s="7" t="s">
        <v>162</v>
      </c>
      <c r="D112" s="7" t="s">
        <v>158</v>
      </c>
      <c r="E112" s="7" t="s">
        <v>159</v>
      </c>
      <c r="F112" s="7"/>
      <c r="G112" s="7" t="s">
        <v>16</v>
      </c>
      <c r="H112" s="7" t="s">
        <v>211</v>
      </c>
      <c r="I112" s="7" t="s">
        <v>93</v>
      </c>
      <c r="J112" s="7" t="s">
        <v>50</v>
      </c>
      <c r="K112" s="7" t="s">
        <v>205</v>
      </c>
      <c r="L112" s="22" t="n">
        <v>15827</v>
      </c>
      <c r="M112" s="7" t="s">
        <v>206</v>
      </c>
      <c r="N112" s="3"/>
      <c r="O112" s="3"/>
      <c r="P112" s="3"/>
    </row>
    <row r="113" customFormat="false" ht="15.75" hidden="false" customHeight="true" outlineLevel="0" collapsed="false">
      <c r="A113" s="7" t="s">
        <v>316</v>
      </c>
      <c r="B113" s="8" t="n">
        <v>46146</v>
      </c>
      <c r="C113" s="7" t="s">
        <v>162</v>
      </c>
      <c r="D113" s="7" t="s">
        <v>158</v>
      </c>
      <c r="E113" s="7" t="s">
        <v>159</v>
      </c>
      <c r="F113" s="7"/>
      <c r="G113" s="7" t="s">
        <v>16</v>
      </c>
      <c r="H113" s="7" t="s">
        <v>211</v>
      </c>
      <c r="I113" s="7" t="s">
        <v>107</v>
      </c>
      <c r="J113" s="7" t="s">
        <v>50</v>
      </c>
      <c r="K113" s="7" t="s">
        <v>50</v>
      </c>
      <c r="L113" s="22" t="n">
        <v>22468</v>
      </c>
      <c r="M113" s="7" t="s">
        <v>206</v>
      </c>
      <c r="N113" s="3"/>
      <c r="O113" s="3"/>
      <c r="P113" s="3"/>
    </row>
    <row r="114" customFormat="false" ht="15.75" hidden="false" customHeight="true" outlineLevel="0" collapsed="false">
      <c r="A114" s="7" t="s">
        <v>317</v>
      </c>
      <c r="B114" s="8" t="n">
        <v>46168</v>
      </c>
      <c r="C114" s="7" t="s">
        <v>162</v>
      </c>
      <c r="D114" s="7" t="s">
        <v>158</v>
      </c>
      <c r="E114" s="7" t="s">
        <v>159</v>
      </c>
      <c r="F114" s="7"/>
      <c r="G114" s="7" t="s">
        <v>16</v>
      </c>
      <c r="H114" s="7" t="s">
        <v>211</v>
      </c>
      <c r="I114" s="7" t="s">
        <v>107</v>
      </c>
      <c r="J114" s="7" t="s">
        <v>50</v>
      </c>
      <c r="K114" s="7" t="s">
        <v>50</v>
      </c>
      <c r="L114" s="22" t="n">
        <v>20885</v>
      </c>
      <c r="M114" s="7" t="s">
        <v>209</v>
      </c>
      <c r="N114" s="3"/>
      <c r="O114" s="3"/>
      <c r="P114" s="3"/>
    </row>
    <row r="115" customFormat="false" ht="15.75" hidden="false" customHeight="true" outlineLevel="0" collapsed="false">
      <c r="A115" s="7" t="s">
        <v>318</v>
      </c>
      <c r="B115" s="8" t="n">
        <v>46143</v>
      </c>
      <c r="C115" s="7" t="s">
        <v>163</v>
      </c>
      <c r="D115" s="7" t="s">
        <v>158</v>
      </c>
      <c r="E115" s="7" t="s">
        <v>159</v>
      </c>
      <c r="F115" s="7"/>
      <c r="G115" s="7" t="s">
        <v>16</v>
      </c>
      <c r="H115" s="7" t="s">
        <v>208</v>
      </c>
      <c r="I115" s="7" t="s">
        <v>93</v>
      </c>
      <c r="J115" s="7" t="s">
        <v>50</v>
      </c>
      <c r="K115" s="7" t="s">
        <v>205</v>
      </c>
      <c r="L115" s="22" t="n">
        <v>12653</v>
      </c>
      <c r="M115" s="7" t="s">
        <v>209</v>
      </c>
      <c r="N115" s="3"/>
      <c r="O115" s="3"/>
      <c r="P115" s="3"/>
    </row>
    <row r="116" customFormat="false" ht="15.75" hidden="false" customHeight="true" outlineLevel="0" collapsed="false">
      <c r="A116" s="7" t="s">
        <v>319</v>
      </c>
      <c r="B116" s="8" t="n">
        <v>46150</v>
      </c>
      <c r="C116" s="7" t="s">
        <v>161</v>
      </c>
      <c r="D116" s="7" t="s">
        <v>158</v>
      </c>
      <c r="E116" s="7" t="s">
        <v>159</v>
      </c>
      <c r="F116" s="7"/>
      <c r="G116" s="7" t="s">
        <v>16</v>
      </c>
      <c r="H116" s="7" t="s">
        <v>185</v>
      </c>
      <c r="I116" s="7" t="s">
        <v>93</v>
      </c>
      <c r="J116" s="7" t="s">
        <v>50</v>
      </c>
      <c r="K116" s="7" t="s">
        <v>205</v>
      </c>
      <c r="L116" s="22" t="n">
        <v>15322</v>
      </c>
      <c r="M116" s="7" t="s">
        <v>206</v>
      </c>
      <c r="N116" s="3"/>
      <c r="O116" s="3"/>
      <c r="P116" s="3"/>
    </row>
    <row r="117" customFormat="false" ht="15.75" hidden="false" customHeight="true" outlineLevel="0" collapsed="false">
      <c r="A117" s="7" t="s">
        <v>320</v>
      </c>
      <c r="B117" s="8" t="n">
        <v>46159</v>
      </c>
      <c r="C117" s="7" t="s">
        <v>162</v>
      </c>
      <c r="D117" s="7" t="s">
        <v>158</v>
      </c>
      <c r="E117" s="7" t="s">
        <v>159</v>
      </c>
      <c r="F117" s="7"/>
      <c r="G117" s="7" t="s">
        <v>16</v>
      </c>
      <c r="H117" s="7" t="s">
        <v>211</v>
      </c>
      <c r="I117" s="7" t="s">
        <v>107</v>
      </c>
      <c r="J117" s="7" t="s">
        <v>50</v>
      </c>
      <c r="K117" s="7" t="s">
        <v>50</v>
      </c>
      <c r="L117" s="22" t="n">
        <v>11953</v>
      </c>
      <c r="M117" s="7" t="s">
        <v>206</v>
      </c>
      <c r="N117" s="3"/>
      <c r="O117" s="3"/>
      <c r="P117" s="3"/>
    </row>
    <row r="118" customFormat="false" ht="15.75" hidden="false" customHeight="true" outlineLevel="0" collapsed="false">
      <c r="A118" s="7" t="s">
        <v>321</v>
      </c>
      <c r="B118" s="8" t="n">
        <v>46203</v>
      </c>
      <c r="C118" s="7" t="s">
        <v>163</v>
      </c>
      <c r="D118" s="7" t="s">
        <v>158</v>
      </c>
      <c r="E118" s="7" t="s">
        <v>159</v>
      </c>
      <c r="F118" s="7"/>
      <c r="G118" s="7" t="s">
        <v>16</v>
      </c>
      <c r="H118" s="7" t="s">
        <v>208</v>
      </c>
      <c r="I118" s="7" t="s">
        <v>88</v>
      </c>
      <c r="J118" s="7" t="s">
        <v>205</v>
      </c>
      <c r="K118" s="7" t="s">
        <v>205</v>
      </c>
      <c r="L118" s="22" t="n">
        <v>0</v>
      </c>
      <c r="M118" s="7" t="s">
        <v>209</v>
      </c>
      <c r="N118" s="3"/>
      <c r="O118" s="3"/>
      <c r="P118" s="3"/>
    </row>
    <row r="119" customFormat="false" ht="15.75" hidden="false" customHeight="true" outlineLevel="0" collapsed="false">
      <c r="A119" s="7" t="s">
        <v>322</v>
      </c>
      <c r="B119" s="8" t="n">
        <v>46181</v>
      </c>
      <c r="C119" s="7" t="s">
        <v>161</v>
      </c>
      <c r="D119" s="7" t="s">
        <v>158</v>
      </c>
      <c r="E119" s="7" t="s">
        <v>159</v>
      </c>
      <c r="F119" s="7"/>
      <c r="G119" s="7" t="s">
        <v>16</v>
      </c>
      <c r="H119" s="7" t="s">
        <v>185</v>
      </c>
      <c r="I119" s="7" t="s">
        <v>93</v>
      </c>
      <c r="J119" s="7" t="s">
        <v>50</v>
      </c>
      <c r="K119" s="7" t="s">
        <v>205</v>
      </c>
      <c r="L119" s="22" t="n">
        <v>14835</v>
      </c>
      <c r="M119" s="7" t="s">
        <v>206</v>
      </c>
      <c r="N119" s="3"/>
      <c r="O119" s="3"/>
      <c r="P119" s="3"/>
    </row>
    <row r="120" customFormat="false" ht="15.75" hidden="false" customHeight="true" outlineLevel="0" collapsed="false">
      <c r="A120" s="7" t="s">
        <v>323</v>
      </c>
      <c r="B120" s="8" t="n">
        <v>46181</v>
      </c>
      <c r="C120" s="7" t="s">
        <v>161</v>
      </c>
      <c r="D120" s="7" t="s">
        <v>158</v>
      </c>
      <c r="E120" s="7" t="s">
        <v>159</v>
      </c>
      <c r="F120" s="7"/>
      <c r="G120" s="7" t="s">
        <v>16</v>
      </c>
      <c r="H120" s="7" t="s">
        <v>185</v>
      </c>
      <c r="I120" s="7" t="s">
        <v>93</v>
      </c>
      <c r="J120" s="7" t="s">
        <v>50</v>
      </c>
      <c r="K120" s="7" t="s">
        <v>205</v>
      </c>
      <c r="L120" s="22" t="n">
        <v>23610</v>
      </c>
      <c r="M120" s="7" t="s">
        <v>209</v>
      </c>
      <c r="N120" s="3"/>
      <c r="O120" s="3"/>
      <c r="P120" s="3"/>
    </row>
    <row r="121" customFormat="false" ht="15.75" hidden="false" customHeight="true" outlineLevel="0" collapsed="false">
      <c r="A121" s="7" t="s">
        <v>324</v>
      </c>
      <c r="B121" s="8" t="n">
        <v>46177</v>
      </c>
      <c r="C121" s="7" t="s">
        <v>157</v>
      </c>
      <c r="D121" s="7" t="s">
        <v>158</v>
      </c>
      <c r="E121" s="7" t="s">
        <v>159</v>
      </c>
      <c r="F121" s="7"/>
      <c r="G121" s="7" t="s">
        <v>16</v>
      </c>
      <c r="H121" s="7" t="s">
        <v>183</v>
      </c>
      <c r="I121" s="7" t="s">
        <v>107</v>
      </c>
      <c r="J121" s="7" t="s">
        <v>50</v>
      </c>
      <c r="K121" s="7" t="s">
        <v>50</v>
      </c>
      <c r="L121" s="22" t="n">
        <v>16376</v>
      </c>
      <c r="M121" s="7" t="s">
        <v>206</v>
      </c>
      <c r="N121" s="3"/>
      <c r="O121" s="3"/>
      <c r="P121" s="3"/>
    </row>
    <row r="122" customFormat="false" ht="15.75" hidden="false" customHeight="true" outlineLevel="0" collapsed="false">
      <c r="A122" s="7" t="s">
        <v>325</v>
      </c>
      <c r="B122" s="8" t="n">
        <v>46192</v>
      </c>
      <c r="C122" s="7" t="s">
        <v>162</v>
      </c>
      <c r="D122" s="7" t="s">
        <v>158</v>
      </c>
      <c r="E122" s="7" t="s">
        <v>159</v>
      </c>
      <c r="F122" s="7"/>
      <c r="G122" s="7" t="s">
        <v>16</v>
      </c>
      <c r="H122" s="7" t="s">
        <v>211</v>
      </c>
      <c r="I122" s="7" t="s">
        <v>93</v>
      </c>
      <c r="J122" s="7" t="s">
        <v>50</v>
      </c>
      <c r="K122" s="7" t="s">
        <v>205</v>
      </c>
      <c r="L122" s="22" t="n">
        <v>8928</v>
      </c>
      <c r="M122" s="7" t="s">
        <v>206</v>
      </c>
      <c r="N122" s="3"/>
      <c r="O122" s="3"/>
      <c r="P122" s="3"/>
    </row>
    <row r="123" customFormat="false" ht="15.75" hidden="false" customHeight="true" outlineLevel="0" collapsed="false">
      <c r="A123" s="7" t="s">
        <v>326</v>
      </c>
      <c r="B123" s="8" t="n">
        <v>46195</v>
      </c>
      <c r="C123" s="7" t="s">
        <v>163</v>
      </c>
      <c r="D123" s="7" t="s">
        <v>158</v>
      </c>
      <c r="E123" s="7" t="s">
        <v>159</v>
      </c>
      <c r="F123" s="7"/>
      <c r="G123" s="7" t="s">
        <v>16</v>
      </c>
      <c r="H123" s="7" t="s">
        <v>208</v>
      </c>
      <c r="I123" s="7" t="s">
        <v>88</v>
      </c>
      <c r="J123" s="7" t="s">
        <v>205</v>
      </c>
      <c r="K123" s="7" t="s">
        <v>205</v>
      </c>
      <c r="L123" s="22" t="n">
        <v>0</v>
      </c>
      <c r="M123" s="7" t="s">
        <v>206</v>
      </c>
      <c r="N123" s="3"/>
      <c r="O123" s="3"/>
      <c r="P123" s="3"/>
    </row>
    <row r="124" customFormat="false" ht="15.75" hidden="false" customHeight="true" outlineLevel="0" collapsed="false">
      <c r="A124" s="7" t="s">
        <v>327</v>
      </c>
      <c r="B124" s="8" t="n">
        <v>46200</v>
      </c>
      <c r="C124" s="7" t="s">
        <v>163</v>
      </c>
      <c r="D124" s="7" t="s">
        <v>158</v>
      </c>
      <c r="E124" s="7" t="s">
        <v>159</v>
      </c>
      <c r="F124" s="7"/>
      <c r="G124" s="7" t="s">
        <v>16</v>
      </c>
      <c r="H124" s="7" t="s">
        <v>208</v>
      </c>
      <c r="I124" s="7" t="s">
        <v>88</v>
      </c>
      <c r="J124" s="7" t="s">
        <v>205</v>
      </c>
      <c r="K124" s="7" t="s">
        <v>205</v>
      </c>
      <c r="L124" s="22" t="n">
        <v>0</v>
      </c>
      <c r="M124" s="7" t="s">
        <v>206</v>
      </c>
      <c r="N124" s="3"/>
      <c r="O124" s="3"/>
      <c r="P124" s="3"/>
    </row>
    <row r="125" customFormat="false" ht="15.75" hidden="false" customHeight="true" outlineLevel="0" collapsed="false">
      <c r="A125" s="7" t="s">
        <v>328</v>
      </c>
      <c r="B125" s="8" t="n">
        <v>46184</v>
      </c>
      <c r="C125" s="7" t="s">
        <v>162</v>
      </c>
      <c r="D125" s="7" t="s">
        <v>158</v>
      </c>
      <c r="E125" s="7" t="s">
        <v>159</v>
      </c>
      <c r="F125" s="7"/>
      <c r="G125" s="7" t="s">
        <v>16</v>
      </c>
      <c r="H125" s="7" t="s">
        <v>211</v>
      </c>
      <c r="I125" s="7" t="s">
        <v>93</v>
      </c>
      <c r="J125" s="7" t="s">
        <v>50</v>
      </c>
      <c r="K125" s="7" t="s">
        <v>205</v>
      </c>
      <c r="L125" s="22" t="n">
        <v>23029</v>
      </c>
      <c r="M125" s="7" t="s">
        <v>209</v>
      </c>
      <c r="N125" s="3"/>
      <c r="O125" s="3"/>
      <c r="P125" s="3"/>
    </row>
    <row r="126" customFormat="false" ht="15.75" hidden="false" customHeight="true" outlineLevel="0" collapsed="false">
      <c r="A126" s="7" t="s">
        <v>329</v>
      </c>
      <c r="B126" s="8" t="n">
        <v>46188</v>
      </c>
      <c r="C126" s="7" t="s">
        <v>161</v>
      </c>
      <c r="D126" s="7" t="s">
        <v>158</v>
      </c>
      <c r="E126" s="7" t="s">
        <v>159</v>
      </c>
      <c r="F126" s="7"/>
      <c r="G126" s="7" t="s">
        <v>16</v>
      </c>
      <c r="H126" s="7" t="s">
        <v>185</v>
      </c>
      <c r="I126" s="7" t="s">
        <v>93</v>
      </c>
      <c r="J126" s="7" t="s">
        <v>50</v>
      </c>
      <c r="K126" s="7" t="s">
        <v>205</v>
      </c>
      <c r="L126" s="22" t="n">
        <v>17597</v>
      </c>
      <c r="M126" s="7" t="s">
        <v>206</v>
      </c>
      <c r="N126" s="3"/>
      <c r="O126" s="3"/>
      <c r="P126" s="3"/>
    </row>
    <row r="127" customFormat="false" ht="15.75" hidden="false" customHeight="true" outlineLevel="0" collapsed="false">
      <c r="A127" s="7" t="s">
        <v>330</v>
      </c>
      <c r="B127" s="8" t="n">
        <v>46202</v>
      </c>
      <c r="C127" s="7" t="s">
        <v>162</v>
      </c>
      <c r="D127" s="7" t="s">
        <v>158</v>
      </c>
      <c r="E127" s="7" t="s">
        <v>159</v>
      </c>
      <c r="F127" s="7"/>
      <c r="G127" s="7" t="s">
        <v>16</v>
      </c>
      <c r="H127" s="7" t="s">
        <v>211</v>
      </c>
      <c r="I127" s="7" t="s">
        <v>93</v>
      </c>
      <c r="J127" s="7" t="s">
        <v>50</v>
      </c>
      <c r="K127" s="7" t="s">
        <v>205</v>
      </c>
      <c r="L127" s="22" t="n">
        <v>24573</v>
      </c>
      <c r="M127" s="7" t="s">
        <v>206</v>
      </c>
      <c r="N127" s="3"/>
      <c r="O127" s="3"/>
      <c r="P127" s="3"/>
    </row>
    <row r="128" customFormat="false" ht="15.75" hidden="false" customHeight="true" outlineLevel="0" collapsed="false">
      <c r="A128" s="7" t="s">
        <v>331</v>
      </c>
      <c r="B128" s="8" t="n">
        <v>46191</v>
      </c>
      <c r="C128" s="7" t="s">
        <v>157</v>
      </c>
      <c r="D128" s="7" t="s">
        <v>158</v>
      </c>
      <c r="E128" s="7" t="s">
        <v>159</v>
      </c>
      <c r="F128" s="7"/>
      <c r="G128" s="7" t="s">
        <v>16</v>
      </c>
      <c r="H128" s="7" t="s">
        <v>183</v>
      </c>
      <c r="I128" s="7" t="s">
        <v>93</v>
      </c>
      <c r="J128" s="7" t="s">
        <v>50</v>
      </c>
      <c r="K128" s="7" t="s">
        <v>205</v>
      </c>
      <c r="L128" s="22" t="n">
        <v>21678</v>
      </c>
      <c r="M128" s="7" t="s">
        <v>209</v>
      </c>
      <c r="N128" s="3"/>
      <c r="O128" s="3"/>
      <c r="P128" s="3"/>
    </row>
    <row r="129" customFormat="false" ht="15.75" hidden="false" customHeight="true" outlineLevel="0" collapsed="false">
      <c r="A129" s="7" t="s">
        <v>332</v>
      </c>
      <c r="B129" s="8" t="n">
        <v>46200</v>
      </c>
      <c r="C129" s="7" t="s">
        <v>161</v>
      </c>
      <c r="D129" s="7" t="s">
        <v>158</v>
      </c>
      <c r="E129" s="7" t="s">
        <v>159</v>
      </c>
      <c r="F129" s="7"/>
      <c r="G129" s="7" t="s">
        <v>16</v>
      </c>
      <c r="H129" s="7" t="s">
        <v>185</v>
      </c>
      <c r="I129" s="7" t="s">
        <v>88</v>
      </c>
      <c r="J129" s="7" t="s">
        <v>205</v>
      </c>
      <c r="K129" s="7" t="s">
        <v>205</v>
      </c>
      <c r="L129" s="22" t="n">
        <v>0</v>
      </c>
      <c r="M129" s="7" t="s">
        <v>209</v>
      </c>
      <c r="N129" s="3"/>
      <c r="O129" s="3"/>
      <c r="P129" s="3"/>
    </row>
    <row r="130" customFormat="false" ht="15.75" hidden="false" customHeight="true" outlineLevel="0" collapsed="false">
      <c r="A130" s="7" t="s">
        <v>333</v>
      </c>
      <c r="B130" s="8" t="n">
        <v>46188</v>
      </c>
      <c r="C130" s="7" t="s">
        <v>163</v>
      </c>
      <c r="D130" s="7" t="s">
        <v>158</v>
      </c>
      <c r="E130" s="7" t="s">
        <v>159</v>
      </c>
      <c r="F130" s="7"/>
      <c r="G130" s="7" t="s">
        <v>16</v>
      </c>
      <c r="H130" s="7" t="s">
        <v>208</v>
      </c>
      <c r="I130" s="7" t="s">
        <v>88</v>
      </c>
      <c r="J130" s="7" t="s">
        <v>205</v>
      </c>
      <c r="K130" s="7" t="s">
        <v>205</v>
      </c>
      <c r="L130" s="22" t="n">
        <v>0</v>
      </c>
      <c r="M130" s="7" t="s">
        <v>206</v>
      </c>
      <c r="N130" s="3"/>
      <c r="O130" s="3"/>
      <c r="P130" s="3"/>
    </row>
    <row r="131" customFormat="false" ht="15.75" hidden="false" customHeight="true" outlineLevel="0" collapsed="false">
      <c r="A131" s="7" t="s">
        <v>334</v>
      </c>
      <c r="B131" s="8" t="n">
        <v>46192</v>
      </c>
      <c r="C131" s="7" t="s">
        <v>163</v>
      </c>
      <c r="D131" s="7" t="s">
        <v>158</v>
      </c>
      <c r="E131" s="7" t="s">
        <v>159</v>
      </c>
      <c r="F131" s="7"/>
      <c r="G131" s="7" t="s">
        <v>16</v>
      </c>
      <c r="H131" s="7" t="s">
        <v>208</v>
      </c>
      <c r="I131" s="7" t="s">
        <v>88</v>
      </c>
      <c r="J131" s="7" t="s">
        <v>205</v>
      </c>
      <c r="K131" s="7" t="s">
        <v>205</v>
      </c>
      <c r="L131" s="22" t="n">
        <v>0</v>
      </c>
      <c r="M131" s="7" t="s">
        <v>209</v>
      </c>
      <c r="N131" s="3"/>
      <c r="O131" s="3"/>
      <c r="P131" s="3"/>
    </row>
    <row r="132" customFormat="false" ht="15.75" hidden="false" customHeight="true" outlineLevel="0" collapsed="false">
      <c r="A132" s="7" t="s">
        <v>335</v>
      </c>
      <c r="B132" s="8" t="n">
        <v>46197</v>
      </c>
      <c r="C132" s="7" t="s">
        <v>157</v>
      </c>
      <c r="D132" s="7" t="s">
        <v>158</v>
      </c>
      <c r="E132" s="7" t="s">
        <v>159</v>
      </c>
      <c r="F132" s="7"/>
      <c r="G132" s="7" t="s">
        <v>16</v>
      </c>
      <c r="H132" s="7" t="s">
        <v>183</v>
      </c>
      <c r="I132" s="7" t="s">
        <v>93</v>
      </c>
      <c r="J132" s="7" t="s">
        <v>50</v>
      </c>
      <c r="K132" s="7" t="s">
        <v>205</v>
      </c>
      <c r="L132" s="22" t="n">
        <v>21924</v>
      </c>
      <c r="M132" s="7" t="s">
        <v>206</v>
      </c>
      <c r="N132" s="3"/>
      <c r="O132" s="3"/>
      <c r="P132" s="3"/>
    </row>
    <row r="133" customFormat="false" ht="15.75" hidden="false" customHeight="true" outlineLevel="0" collapsed="false">
      <c r="A133" s="7" t="s">
        <v>336</v>
      </c>
      <c r="B133" s="8" t="n">
        <v>46178</v>
      </c>
      <c r="C133" s="7" t="s">
        <v>157</v>
      </c>
      <c r="D133" s="7" t="s">
        <v>158</v>
      </c>
      <c r="E133" s="7" t="s">
        <v>159</v>
      </c>
      <c r="F133" s="7"/>
      <c r="G133" s="7" t="s">
        <v>16</v>
      </c>
      <c r="H133" s="7" t="s">
        <v>183</v>
      </c>
      <c r="I133" s="7" t="s">
        <v>88</v>
      </c>
      <c r="J133" s="7" t="s">
        <v>205</v>
      </c>
      <c r="K133" s="7" t="s">
        <v>205</v>
      </c>
      <c r="L133" s="22" t="n">
        <v>0</v>
      </c>
      <c r="M133" s="7" t="s">
        <v>206</v>
      </c>
      <c r="N133" s="3"/>
      <c r="O133" s="3"/>
      <c r="P133" s="3"/>
    </row>
    <row r="134" customFormat="false" ht="15.75" hidden="false" customHeight="true" outlineLevel="0" collapsed="false">
      <c r="A134" s="7" t="s">
        <v>337</v>
      </c>
      <c r="B134" s="8" t="n">
        <v>46201</v>
      </c>
      <c r="C134" s="7" t="s">
        <v>163</v>
      </c>
      <c r="D134" s="7" t="s">
        <v>158</v>
      </c>
      <c r="E134" s="7" t="s">
        <v>159</v>
      </c>
      <c r="F134" s="7"/>
      <c r="G134" s="7" t="s">
        <v>16</v>
      </c>
      <c r="H134" s="7" t="s">
        <v>208</v>
      </c>
      <c r="I134" s="7" t="s">
        <v>107</v>
      </c>
      <c r="J134" s="7" t="s">
        <v>50</v>
      </c>
      <c r="K134" s="7" t="s">
        <v>50</v>
      </c>
      <c r="L134" s="22" t="n">
        <v>17055</v>
      </c>
      <c r="M134" s="7" t="s">
        <v>206</v>
      </c>
      <c r="N134" s="3"/>
      <c r="O134" s="3"/>
      <c r="P134" s="3"/>
    </row>
    <row r="135" customFormat="false" ht="15.75" hidden="false" customHeight="true" outlineLevel="0" collapsed="false">
      <c r="A135" s="7" t="s">
        <v>338</v>
      </c>
      <c r="B135" s="8" t="n">
        <v>46174</v>
      </c>
      <c r="C135" s="7" t="s">
        <v>161</v>
      </c>
      <c r="D135" s="7" t="s">
        <v>158</v>
      </c>
      <c r="E135" s="7" t="s">
        <v>159</v>
      </c>
      <c r="F135" s="7"/>
      <c r="G135" s="7" t="s">
        <v>16</v>
      </c>
      <c r="H135" s="7" t="s">
        <v>185</v>
      </c>
      <c r="I135" s="7" t="s">
        <v>107</v>
      </c>
      <c r="J135" s="7" t="s">
        <v>50</v>
      </c>
      <c r="K135" s="7" t="s">
        <v>50</v>
      </c>
      <c r="L135" s="22" t="n">
        <v>12449</v>
      </c>
      <c r="M135" s="7" t="s">
        <v>206</v>
      </c>
      <c r="N135" s="3"/>
      <c r="O135" s="3"/>
      <c r="P135" s="3"/>
    </row>
    <row r="136" customFormat="false" ht="15.75" hidden="false" customHeight="true" outlineLevel="0" collapsed="false">
      <c r="A136" s="7" t="s">
        <v>339</v>
      </c>
      <c r="B136" s="8" t="n">
        <v>46182</v>
      </c>
      <c r="C136" s="7" t="s">
        <v>161</v>
      </c>
      <c r="D136" s="7" t="s">
        <v>158</v>
      </c>
      <c r="E136" s="7" t="s">
        <v>159</v>
      </c>
      <c r="F136" s="7"/>
      <c r="G136" s="7" t="s">
        <v>16</v>
      </c>
      <c r="H136" s="7" t="s">
        <v>185</v>
      </c>
      <c r="I136" s="7" t="s">
        <v>93</v>
      </c>
      <c r="J136" s="7" t="s">
        <v>50</v>
      </c>
      <c r="K136" s="7" t="s">
        <v>205</v>
      </c>
      <c r="L136" s="22" t="n">
        <v>21405</v>
      </c>
      <c r="M136" s="7" t="s">
        <v>206</v>
      </c>
      <c r="N136" s="3"/>
      <c r="O136" s="3"/>
      <c r="P136" s="3"/>
    </row>
    <row r="137" customFormat="false" ht="15.75" hidden="false" customHeight="true" outlineLevel="0" collapsed="false">
      <c r="A137" s="7" t="s">
        <v>340</v>
      </c>
      <c r="B137" s="8" t="n">
        <v>46189</v>
      </c>
      <c r="C137" s="7" t="s">
        <v>161</v>
      </c>
      <c r="D137" s="7" t="s">
        <v>158</v>
      </c>
      <c r="E137" s="7" t="s">
        <v>159</v>
      </c>
      <c r="F137" s="7"/>
      <c r="G137" s="7" t="s">
        <v>16</v>
      </c>
      <c r="H137" s="7" t="s">
        <v>185</v>
      </c>
      <c r="I137" s="7" t="s">
        <v>93</v>
      </c>
      <c r="J137" s="7" t="s">
        <v>50</v>
      </c>
      <c r="K137" s="7" t="s">
        <v>205</v>
      </c>
      <c r="L137" s="22" t="n">
        <v>11039</v>
      </c>
      <c r="M137" s="7" t="s">
        <v>209</v>
      </c>
      <c r="N137" s="3"/>
      <c r="O137" s="3"/>
      <c r="P137" s="3"/>
    </row>
    <row r="138" customFormat="false" ht="15.75" hidden="false" customHeight="true" outlineLevel="0" collapsed="false">
      <c r="A138" s="7" t="s">
        <v>341</v>
      </c>
      <c r="B138" s="8" t="n">
        <v>46178</v>
      </c>
      <c r="C138" s="7" t="s">
        <v>157</v>
      </c>
      <c r="D138" s="7" t="s">
        <v>158</v>
      </c>
      <c r="E138" s="7" t="s">
        <v>159</v>
      </c>
      <c r="F138" s="7"/>
      <c r="G138" s="7" t="s">
        <v>16</v>
      </c>
      <c r="H138" s="7" t="s">
        <v>183</v>
      </c>
      <c r="I138" s="7" t="s">
        <v>93</v>
      </c>
      <c r="J138" s="7" t="s">
        <v>50</v>
      </c>
      <c r="K138" s="7" t="s">
        <v>205</v>
      </c>
      <c r="L138" s="22" t="n">
        <v>14089</v>
      </c>
      <c r="M138" s="7" t="s">
        <v>206</v>
      </c>
      <c r="N138" s="3"/>
      <c r="O138" s="3"/>
      <c r="P138" s="3"/>
    </row>
    <row r="139" customFormat="false" ht="15.75" hidden="false" customHeight="true" outlineLevel="0" collapsed="false">
      <c r="A139" s="7" t="s">
        <v>342</v>
      </c>
      <c r="B139" s="8" t="n">
        <v>46203</v>
      </c>
      <c r="C139" s="7" t="s">
        <v>162</v>
      </c>
      <c r="D139" s="7" t="s">
        <v>158</v>
      </c>
      <c r="E139" s="7" t="s">
        <v>159</v>
      </c>
      <c r="F139" s="7"/>
      <c r="G139" s="7" t="s">
        <v>16</v>
      </c>
      <c r="H139" s="7" t="s">
        <v>211</v>
      </c>
      <c r="I139" s="7" t="s">
        <v>88</v>
      </c>
      <c r="J139" s="7" t="s">
        <v>205</v>
      </c>
      <c r="K139" s="7" t="s">
        <v>205</v>
      </c>
      <c r="L139" s="22" t="n">
        <v>0</v>
      </c>
      <c r="M139" s="7" t="s">
        <v>209</v>
      </c>
      <c r="N139" s="3"/>
      <c r="O139" s="3"/>
      <c r="P139" s="3"/>
    </row>
    <row r="140" customFormat="false" ht="15.75" hidden="false" customHeight="true" outlineLevel="0" collapsed="false">
      <c r="A140" s="7" t="s">
        <v>343</v>
      </c>
      <c r="B140" s="8" t="n">
        <v>46182</v>
      </c>
      <c r="C140" s="7" t="s">
        <v>161</v>
      </c>
      <c r="D140" s="7" t="s">
        <v>158</v>
      </c>
      <c r="E140" s="7" t="s">
        <v>159</v>
      </c>
      <c r="F140" s="7"/>
      <c r="G140" s="7" t="s">
        <v>16</v>
      </c>
      <c r="H140" s="7" t="s">
        <v>185</v>
      </c>
      <c r="I140" s="7" t="s">
        <v>93</v>
      </c>
      <c r="J140" s="7" t="s">
        <v>50</v>
      </c>
      <c r="K140" s="7" t="s">
        <v>205</v>
      </c>
      <c r="L140" s="22" t="n">
        <v>14930</v>
      </c>
      <c r="M140" s="7" t="s">
        <v>209</v>
      </c>
      <c r="N140" s="3"/>
      <c r="O140" s="3"/>
      <c r="P140" s="3"/>
    </row>
    <row r="141" customFormat="false" ht="15.75" hidden="false" customHeight="true" outlineLevel="0" collapsed="false">
      <c r="A141" s="7" t="s">
        <v>344</v>
      </c>
      <c r="B141" s="8" t="n">
        <v>46179</v>
      </c>
      <c r="C141" s="7" t="s">
        <v>157</v>
      </c>
      <c r="D141" s="7" t="s">
        <v>158</v>
      </c>
      <c r="E141" s="7" t="s">
        <v>159</v>
      </c>
      <c r="F141" s="7"/>
      <c r="G141" s="7" t="s">
        <v>16</v>
      </c>
      <c r="H141" s="7" t="s">
        <v>183</v>
      </c>
      <c r="I141" s="7" t="s">
        <v>93</v>
      </c>
      <c r="J141" s="7" t="s">
        <v>50</v>
      </c>
      <c r="K141" s="7" t="s">
        <v>205</v>
      </c>
      <c r="L141" s="22" t="n">
        <v>18175</v>
      </c>
      <c r="M141" s="7" t="s">
        <v>206</v>
      </c>
      <c r="N141" s="3"/>
      <c r="O141" s="3"/>
      <c r="P141" s="3"/>
    </row>
    <row r="142" customFormat="false" ht="15.75" hidden="false" customHeight="true" outlineLevel="0" collapsed="false">
      <c r="A142" s="7" t="s">
        <v>345</v>
      </c>
      <c r="B142" s="8" t="n">
        <v>46198</v>
      </c>
      <c r="C142" s="7" t="s">
        <v>157</v>
      </c>
      <c r="D142" s="7" t="s">
        <v>158</v>
      </c>
      <c r="E142" s="7" t="s">
        <v>159</v>
      </c>
      <c r="F142" s="7"/>
      <c r="G142" s="7" t="s">
        <v>16</v>
      </c>
      <c r="H142" s="7" t="s">
        <v>183</v>
      </c>
      <c r="I142" s="7" t="s">
        <v>93</v>
      </c>
      <c r="J142" s="7" t="s">
        <v>50</v>
      </c>
      <c r="K142" s="7" t="s">
        <v>205</v>
      </c>
      <c r="L142" s="22" t="n">
        <v>10186</v>
      </c>
      <c r="M142" s="7" t="s">
        <v>206</v>
      </c>
      <c r="N142" s="3"/>
      <c r="O142" s="3"/>
      <c r="P142" s="3"/>
    </row>
    <row r="143" customFormat="false" ht="15.75" hidden="false" customHeight="true" outlineLevel="0" collapsed="false">
      <c r="A143" s="7" t="s">
        <v>346</v>
      </c>
      <c r="B143" s="8" t="n">
        <v>46180</v>
      </c>
      <c r="C143" s="7" t="s">
        <v>161</v>
      </c>
      <c r="D143" s="7" t="s">
        <v>158</v>
      </c>
      <c r="E143" s="7" t="s">
        <v>159</v>
      </c>
      <c r="F143" s="7"/>
      <c r="G143" s="7" t="s">
        <v>16</v>
      </c>
      <c r="H143" s="7" t="s">
        <v>185</v>
      </c>
      <c r="I143" s="7" t="s">
        <v>88</v>
      </c>
      <c r="J143" s="7" t="s">
        <v>205</v>
      </c>
      <c r="K143" s="7" t="s">
        <v>205</v>
      </c>
      <c r="L143" s="22" t="n">
        <v>0</v>
      </c>
      <c r="M143" s="7" t="s">
        <v>209</v>
      </c>
      <c r="N143" s="3"/>
      <c r="O143" s="3"/>
      <c r="P143" s="3"/>
    </row>
    <row r="144" customFormat="false" ht="15.75" hidden="false" customHeight="true" outlineLevel="0" collapsed="false">
      <c r="A144" s="7" t="s">
        <v>347</v>
      </c>
      <c r="B144" s="8" t="n">
        <v>46182</v>
      </c>
      <c r="C144" s="7" t="s">
        <v>161</v>
      </c>
      <c r="D144" s="7" t="s">
        <v>158</v>
      </c>
      <c r="E144" s="7" t="s">
        <v>159</v>
      </c>
      <c r="F144" s="7"/>
      <c r="G144" s="7" t="s">
        <v>16</v>
      </c>
      <c r="H144" s="7" t="s">
        <v>185</v>
      </c>
      <c r="I144" s="7" t="s">
        <v>93</v>
      </c>
      <c r="J144" s="7" t="s">
        <v>50</v>
      </c>
      <c r="K144" s="7" t="s">
        <v>205</v>
      </c>
      <c r="L144" s="22" t="n">
        <v>13664</v>
      </c>
      <c r="M144" s="7" t="s">
        <v>206</v>
      </c>
      <c r="N144" s="3"/>
      <c r="O144" s="3"/>
      <c r="P144" s="3"/>
    </row>
    <row r="145" customFormat="false" ht="15.75" hidden="false" customHeight="true" outlineLevel="0" collapsed="false">
      <c r="A145" s="7" t="s">
        <v>348</v>
      </c>
      <c r="B145" s="8" t="n">
        <v>46193</v>
      </c>
      <c r="C145" s="7" t="s">
        <v>161</v>
      </c>
      <c r="D145" s="7" t="s">
        <v>158</v>
      </c>
      <c r="E145" s="7" t="s">
        <v>159</v>
      </c>
      <c r="F145" s="7"/>
      <c r="G145" s="7" t="s">
        <v>16</v>
      </c>
      <c r="H145" s="7" t="s">
        <v>185</v>
      </c>
      <c r="I145" s="7" t="s">
        <v>93</v>
      </c>
      <c r="J145" s="7" t="s">
        <v>50</v>
      </c>
      <c r="K145" s="7" t="s">
        <v>205</v>
      </c>
      <c r="L145" s="22" t="n">
        <v>20427</v>
      </c>
      <c r="M145" s="7" t="s">
        <v>209</v>
      </c>
      <c r="N145" s="3"/>
      <c r="O145" s="3"/>
      <c r="P145" s="3"/>
    </row>
    <row r="146" customFormat="false" ht="15.75" hidden="false" customHeight="true" outlineLevel="0" collapsed="false">
      <c r="A146" s="7" t="s">
        <v>349</v>
      </c>
      <c r="B146" s="8" t="n">
        <v>46181</v>
      </c>
      <c r="C146" s="7" t="s">
        <v>163</v>
      </c>
      <c r="D146" s="7" t="s">
        <v>158</v>
      </c>
      <c r="E146" s="7" t="s">
        <v>159</v>
      </c>
      <c r="F146" s="7"/>
      <c r="G146" s="7" t="s">
        <v>16</v>
      </c>
      <c r="H146" s="7" t="s">
        <v>208</v>
      </c>
      <c r="I146" s="7" t="s">
        <v>88</v>
      </c>
      <c r="J146" s="7" t="s">
        <v>205</v>
      </c>
      <c r="K146" s="7" t="s">
        <v>205</v>
      </c>
      <c r="L146" s="22" t="n">
        <v>0</v>
      </c>
      <c r="M146" s="7" t="s">
        <v>206</v>
      </c>
      <c r="N146" s="3"/>
      <c r="O146" s="3"/>
      <c r="P146" s="3"/>
    </row>
    <row r="147" customFormat="false" ht="15.75" hidden="false" customHeight="true" outlineLevel="0" collapsed="false">
      <c r="A147" s="7" t="s">
        <v>350</v>
      </c>
      <c r="B147" s="8" t="n">
        <v>46195</v>
      </c>
      <c r="C147" s="7" t="s">
        <v>157</v>
      </c>
      <c r="D147" s="7" t="s">
        <v>158</v>
      </c>
      <c r="E147" s="7" t="s">
        <v>159</v>
      </c>
      <c r="F147" s="7"/>
      <c r="G147" s="7" t="s">
        <v>16</v>
      </c>
      <c r="H147" s="7" t="s">
        <v>183</v>
      </c>
      <c r="I147" s="7" t="s">
        <v>107</v>
      </c>
      <c r="J147" s="7" t="s">
        <v>50</v>
      </c>
      <c r="K147" s="7" t="s">
        <v>50</v>
      </c>
      <c r="L147" s="22" t="n">
        <v>12452</v>
      </c>
      <c r="M147" s="7" t="s">
        <v>209</v>
      </c>
      <c r="N147" s="3"/>
      <c r="O147" s="3"/>
      <c r="P147" s="3"/>
    </row>
    <row r="148" customFormat="false" ht="15.75" hidden="false" customHeight="true" outlineLevel="0" collapsed="false">
      <c r="A148" s="7" t="s">
        <v>351</v>
      </c>
      <c r="B148" s="8" t="n">
        <v>46190</v>
      </c>
      <c r="C148" s="7" t="s">
        <v>157</v>
      </c>
      <c r="D148" s="7" t="s">
        <v>158</v>
      </c>
      <c r="E148" s="7" t="s">
        <v>159</v>
      </c>
      <c r="F148" s="7"/>
      <c r="G148" s="7" t="s">
        <v>16</v>
      </c>
      <c r="H148" s="7" t="s">
        <v>183</v>
      </c>
      <c r="I148" s="7" t="s">
        <v>93</v>
      </c>
      <c r="J148" s="7" t="s">
        <v>50</v>
      </c>
      <c r="K148" s="7" t="s">
        <v>205</v>
      </c>
      <c r="L148" s="22" t="n">
        <v>15732</v>
      </c>
      <c r="M148" s="7" t="s">
        <v>209</v>
      </c>
      <c r="N148" s="3"/>
      <c r="O148" s="3"/>
      <c r="P148" s="3"/>
    </row>
    <row r="149" customFormat="false" ht="15.75" hidden="false" customHeight="true" outlineLevel="0" collapsed="false">
      <c r="A149" s="7" t="s">
        <v>352</v>
      </c>
      <c r="B149" s="8" t="n">
        <v>46177</v>
      </c>
      <c r="C149" s="7" t="s">
        <v>163</v>
      </c>
      <c r="D149" s="7" t="s">
        <v>158</v>
      </c>
      <c r="E149" s="7" t="s">
        <v>159</v>
      </c>
      <c r="F149" s="7"/>
      <c r="G149" s="7" t="s">
        <v>16</v>
      </c>
      <c r="H149" s="7" t="s">
        <v>208</v>
      </c>
      <c r="I149" s="7" t="s">
        <v>107</v>
      </c>
      <c r="J149" s="7" t="s">
        <v>50</v>
      </c>
      <c r="K149" s="7" t="s">
        <v>50</v>
      </c>
      <c r="L149" s="22" t="n">
        <v>17607</v>
      </c>
      <c r="M149" s="7" t="s">
        <v>206</v>
      </c>
      <c r="N149" s="3"/>
      <c r="O149" s="3"/>
      <c r="P149" s="3"/>
    </row>
    <row r="150" customFormat="false" ht="15.75" hidden="false" customHeight="true" outlineLevel="0" collapsed="false">
      <c r="A150" s="7" t="s">
        <v>353</v>
      </c>
      <c r="B150" s="8" t="n">
        <v>46192</v>
      </c>
      <c r="C150" s="7" t="s">
        <v>163</v>
      </c>
      <c r="D150" s="7" t="s">
        <v>158</v>
      </c>
      <c r="E150" s="7" t="s">
        <v>159</v>
      </c>
      <c r="F150" s="7"/>
      <c r="G150" s="7" t="s">
        <v>16</v>
      </c>
      <c r="H150" s="7" t="s">
        <v>208</v>
      </c>
      <c r="I150" s="7" t="s">
        <v>93</v>
      </c>
      <c r="J150" s="7" t="s">
        <v>50</v>
      </c>
      <c r="K150" s="7" t="s">
        <v>205</v>
      </c>
      <c r="L150" s="22" t="n">
        <v>13840</v>
      </c>
      <c r="M150" s="7" t="s">
        <v>206</v>
      </c>
      <c r="N150" s="3"/>
      <c r="O150" s="3"/>
      <c r="P150" s="3"/>
    </row>
    <row r="151" customFormat="false" ht="15.75" hidden="false" customHeight="true" outlineLevel="0" collapsed="false">
      <c r="A151" s="7" t="s">
        <v>354</v>
      </c>
      <c r="B151" s="8" t="n">
        <v>46196</v>
      </c>
      <c r="C151" s="7" t="s">
        <v>161</v>
      </c>
      <c r="D151" s="7" t="s">
        <v>158</v>
      </c>
      <c r="E151" s="7" t="s">
        <v>159</v>
      </c>
      <c r="F151" s="7"/>
      <c r="G151" s="7" t="s">
        <v>16</v>
      </c>
      <c r="H151" s="7" t="s">
        <v>185</v>
      </c>
      <c r="I151" s="7" t="s">
        <v>93</v>
      </c>
      <c r="J151" s="7" t="s">
        <v>50</v>
      </c>
      <c r="K151" s="7" t="s">
        <v>205</v>
      </c>
      <c r="L151" s="22" t="n">
        <v>8244</v>
      </c>
      <c r="M151" s="7" t="s">
        <v>206</v>
      </c>
      <c r="N151" s="3"/>
      <c r="O151" s="3"/>
      <c r="P151" s="3"/>
    </row>
    <row r="152" customFormat="false" ht="15.75" hidden="false" customHeight="true" outlineLevel="0" collapsed="false">
      <c r="A152" s="7" t="s">
        <v>355</v>
      </c>
      <c r="B152" s="8" t="n">
        <v>46195</v>
      </c>
      <c r="C152" s="7" t="s">
        <v>157</v>
      </c>
      <c r="D152" s="7" t="s">
        <v>158</v>
      </c>
      <c r="E152" s="7" t="s">
        <v>159</v>
      </c>
      <c r="F152" s="7"/>
      <c r="G152" s="7" t="s">
        <v>16</v>
      </c>
      <c r="H152" s="7" t="s">
        <v>183</v>
      </c>
      <c r="I152" s="7" t="s">
        <v>93</v>
      </c>
      <c r="J152" s="7" t="s">
        <v>50</v>
      </c>
      <c r="K152" s="7" t="s">
        <v>205</v>
      </c>
      <c r="L152" s="22" t="n">
        <v>23742</v>
      </c>
      <c r="M152" s="7" t="s">
        <v>209</v>
      </c>
      <c r="N152" s="3"/>
      <c r="O152" s="3"/>
      <c r="P152" s="3"/>
    </row>
    <row r="153" customFormat="false" ht="15.75" hidden="false" customHeight="true" outlineLevel="0" collapsed="false">
      <c r="A153" s="7" t="s">
        <v>356</v>
      </c>
      <c r="B153" s="8" t="n">
        <v>46193</v>
      </c>
      <c r="C153" s="7" t="s">
        <v>161</v>
      </c>
      <c r="D153" s="7" t="s">
        <v>158</v>
      </c>
      <c r="E153" s="7" t="s">
        <v>159</v>
      </c>
      <c r="F153" s="7"/>
      <c r="G153" s="7" t="s">
        <v>16</v>
      </c>
      <c r="H153" s="7" t="s">
        <v>185</v>
      </c>
      <c r="I153" s="7" t="s">
        <v>93</v>
      </c>
      <c r="J153" s="7" t="s">
        <v>50</v>
      </c>
      <c r="K153" s="7" t="s">
        <v>205</v>
      </c>
      <c r="L153" s="22" t="n">
        <v>15056</v>
      </c>
      <c r="M153" s="7" t="s">
        <v>209</v>
      </c>
      <c r="N153" s="3"/>
      <c r="O153" s="3"/>
      <c r="P153" s="3"/>
    </row>
    <row r="154" customFormat="false" ht="15.75" hidden="false" customHeight="true" outlineLevel="0" collapsed="false">
      <c r="A154" s="7" t="s">
        <v>357</v>
      </c>
      <c r="B154" s="8" t="n">
        <v>46197</v>
      </c>
      <c r="C154" s="7" t="s">
        <v>157</v>
      </c>
      <c r="D154" s="7" t="s">
        <v>158</v>
      </c>
      <c r="E154" s="7" t="s">
        <v>159</v>
      </c>
      <c r="F154" s="7"/>
      <c r="G154" s="7" t="s">
        <v>16</v>
      </c>
      <c r="H154" s="7" t="s">
        <v>183</v>
      </c>
      <c r="I154" s="7" t="s">
        <v>93</v>
      </c>
      <c r="J154" s="7" t="s">
        <v>50</v>
      </c>
      <c r="K154" s="7" t="s">
        <v>205</v>
      </c>
      <c r="L154" s="22" t="n">
        <v>16823</v>
      </c>
      <c r="M154" s="7" t="s">
        <v>206</v>
      </c>
      <c r="N154" s="3"/>
      <c r="O154" s="3"/>
      <c r="P154" s="3"/>
    </row>
    <row r="155" customFormat="false" ht="15.75" hidden="false" customHeight="true" outlineLevel="0" collapsed="false">
      <c r="A155" s="7" t="s">
        <v>358</v>
      </c>
      <c r="B155" s="8" t="n">
        <v>46183</v>
      </c>
      <c r="C155" s="7" t="s">
        <v>162</v>
      </c>
      <c r="D155" s="7" t="s">
        <v>158</v>
      </c>
      <c r="E155" s="7" t="s">
        <v>159</v>
      </c>
      <c r="F155" s="7"/>
      <c r="G155" s="7" t="s">
        <v>16</v>
      </c>
      <c r="H155" s="7" t="s">
        <v>211</v>
      </c>
      <c r="I155" s="7" t="s">
        <v>93</v>
      </c>
      <c r="J155" s="7" t="s">
        <v>50</v>
      </c>
      <c r="K155" s="7" t="s">
        <v>205</v>
      </c>
      <c r="L155" s="22" t="n">
        <v>14069</v>
      </c>
      <c r="M155" s="7" t="s">
        <v>209</v>
      </c>
      <c r="N155" s="3"/>
      <c r="O155" s="3"/>
      <c r="P155" s="3"/>
    </row>
    <row r="156" customFormat="false" ht="15.75" hidden="false" customHeight="true" outlineLevel="0" collapsed="false">
      <c r="A156" s="7" t="s">
        <v>359</v>
      </c>
      <c r="B156" s="8" t="n">
        <v>46178</v>
      </c>
      <c r="C156" s="7" t="s">
        <v>163</v>
      </c>
      <c r="D156" s="7" t="s">
        <v>158</v>
      </c>
      <c r="E156" s="7" t="s">
        <v>159</v>
      </c>
      <c r="F156" s="7"/>
      <c r="G156" s="7" t="s">
        <v>16</v>
      </c>
      <c r="H156" s="7" t="s">
        <v>208</v>
      </c>
      <c r="I156" s="7" t="s">
        <v>93</v>
      </c>
      <c r="J156" s="7" t="s">
        <v>50</v>
      </c>
      <c r="K156" s="7" t="s">
        <v>205</v>
      </c>
      <c r="L156" s="22" t="n">
        <v>13137</v>
      </c>
      <c r="M156" s="7" t="s">
        <v>209</v>
      </c>
      <c r="N156" s="3"/>
      <c r="O156" s="3"/>
      <c r="P156" s="3"/>
    </row>
    <row r="157" customFormat="false" ht="15.75" hidden="false" customHeight="true" outlineLevel="0" collapsed="false">
      <c r="A157" s="7" t="s">
        <v>360</v>
      </c>
      <c r="B157" s="8" t="n">
        <v>46188</v>
      </c>
      <c r="C157" s="7" t="s">
        <v>157</v>
      </c>
      <c r="D157" s="7" t="s">
        <v>158</v>
      </c>
      <c r="E157" s="7" t="s">
        <v>159</v>
      </c>
      <c r="F157" s="7"/>
      <c r="G157" s="7" t="s">
        <v>16</v>
      </c>
      <c r="H157" s="7" t="s">
        <v>183</v>
      </c>
      <c r="I157" s="7" t="s">
        <v>93</v>
      </c>
      <c r="J157" s="7" t="s">
        <v>50</v>
      </c>
      <c r="K157" s="7" t="s">
        <v>205</v>
      </c>
      <c r="L157" s="22" t="n">
        <v>15530</v>
      </c>
      <c r="M157" s="7" t="s">
        <v>209</v>
      </c>
      <c r="N157" s="3"/>
      <c r="O157" s="3"/>
      <c r="P157" s="3"/>
    </row>
    <row r="158" customFormat="false" ht="15.75" hidden="false" customHeight="true" outlineLevel="0" collapsed="false">
      <c r="A158" s="7" t="s">
        <v>361</v>
      </c>
      <c r="B158" s="8" t="n">
        <v>46197</v>
      </c>
      <c r="C158" s="7" t="s">
        <v>163</v>
      </c>
      <c r="D158" s="7" t="s">
        <v>158</v>
      </c>
      <c r="E158" s="7" t="s">
        <v>159</v>
      </c>
      <c r="F158" s="7"/>
      <c r="G158" s="7" t="s">
        <v>16</v>
      </c>
      <c r="H158" s="7" t="s">
        <v>208</v>
      </c>
      <c r="I158" s="7" t="s">
        <v>93</v>
      </c>
      <c r="J158" s="7" t="s">
        <v>50</v>
      </c>
      <c r="K158" s="7" t="s">
        <v>205</v>
      </c>
      <c r="L158" s="22" t="n">
        <v>19848</v>
      </c>
      <c r="M158" s="7" t="s">
        <v>209</v>
      </c>
      <c r="N158" s="3"/>
      <c r="O158" s="3"/>
      <c r="P158" s="3"/>
    </row>
    <row r="159" customFormat="false" ht="15.75" hidden="false" customHeight="true" outlineLevel="0" collapsed="false">
      <c r="A159" s="7" t="s">
        <v>362</v>
      </c>
      <c r="B159" s="8" t="n">
        <v>46176</v>
      </c>
      <c r="C159" s="7" t="s">
        <v>157</v>
      </c>
      <c r="D159" s="7" t="s">
        <v>158</v>
      </c>
      <c r="E159" s="7" t="s">
        <v>159</v>
      </c>
      <c r="F159" s="7"/>
      <c r="G159" s="7" t="s">
        <v>16</v>
      </c>
      <c r="H159" s="7" t="s">
        <v>183</v>
      </c>
      <c r="I159" s="7" t="s">
        <v>93</v>
      </c>
      <c r="J159" s="7" t="s">
        <v>50</v>
      </c>
      <c r="K159" s="7" t="s">
        <v>205</v>
      </c>
      <c r="L159" s="22" t="n">
        <v>23761</v>
      </c>
      <c r="M159" s="7" t="s">
        <v>206</v>
      </c>
      <c r="N159" s="3"/>
      <c r="O159" s="3"/>
      <c r="P159" s="3"/>
    </row>
    <row r="160" customFormat="false" ht="15.75" hidden="false" customHeight="true" outlineLevel="0" collapsed="false">
      <c r="A160" s="7" t="s">
        <v>363</v>
      </c>
      <c r="B160" s="8" t="n">
        <v>46186</v>
      </c>
      <c r="C160" s="7" t="s">
        <v>162</v>
      </c>
      <c r="D160" s="7" t="s">
        <v>158</v>
      </c>
      <c r="E160" s="7" t="s">
        <v>159</v>
      </c>
      <c r="F160" s="7"/>
      <c r="G160" s="7" t="s">
        <v>16</v>
      </c>
      <c r="H160" s="7" t="s">
        <v>211</v>
      </c>
      <c r="I160" s="7" t="s">
        <v>107</v>
      </c>
      <c r="J160" s="7" t="s">
        <v>50</v>
      </c>
      <c r="K160" s="7" t="s">
        <v>50</v>
      </c>
      <c r="L160" s="22" t="n">
        <v>13038</v>
      </c>
      <c r="M160" s="7" t="s">
        <v>206</v>
      </c>
      <c r="N160" s="3"/>
      <c r="O160" s="3"/>
      <c r="P160" s="3"/>
    </row>
    <row r="161" customFormat="false" ht="15.75" hidden="false" customHeight="true" outlineLevel="0" collapsed="false">
      <c r="A161" s="7" t="s">
        <v>364</v>
      </c>
      <c r="B161" s="8" t="n">
        <v>46199</v>
      </c>
      <c r="C161" s="7" t="s">
        <v>161</v>
      </c>
      <c r="D161" s="7" t="s">
        <v>158</v>
      </c>
      <c r="E161" s="7" t="s">
        <v>159</v>
      </c>
      <c r="F161" s="7"/>
      <c r="G161" s="7" t="s">
        <v>16</v>
      </c>
      <c r="H161" s="7" t="s">
        <v>185</v>
      </c>
      <c r="I161" s="7" t="s">
        <v>93</v>
      </c>
      <c r="J161" s="7" t="s">
        <v>50</v>
      </c>
      <c r="K161" s="7" t="s">
        <v>205</v>
      </c>
      <c r="L161" s="22" t="n">
        <v>17572</v>
      </c>
      <c r="M161" s="7" t="s">
        <v>206</v>
      </c>
      <c r="N161" s="3"/>
      <c r="O161" s="3"/>
      <c r="P161" s="3"/>
    </row>
    <row r="162" customFormat="false" ht="15.75" hidden="false" customHeight="true" outlineLevel="0" collapsed="false">
      <c r="A162" s="7" t="s">
        <v>365</v>
      </c>
      <c r="B162" s="8" t="n">
        <v>46194</v>
      </c>
      <c r="C162" s="7" t="s">
        <v>163</v>
      </c>
      <c r="D162" s="7" t="s">
        <v>158</v>
      </c>
      <c r="E162" s="7" t="s">
        <v>159</v>
      </c>
      <c r="F162" s="7"/>
      <c r="G162" s="7" t="s">
        <v>16</v>
      </c>
      <c r="H162" s="7" t="s">
        <v>208</v>
      </c>
      <c r="I162" s="7" t="s">
        <v>93</v>
      </c>
      <c r="J162" s="7" t="s">
        <v>50</v>
      </c>
      <c r="K162" s="7" t="s">
        <v>205</v>
      </c>
      <c r="L162" s="22" t="n">
        <v>22692</v>
      </c>
      <c r="M162" s="7" t="s">
        <v>206</v>
      </c>
      <c r="N162" s="3"/>
      <c r="O162" s="3"/>
      <c r="P162" s="3"/>
    </row>
    <row r="163" customFormat="false" ht="15.75" hidden="false" customHeight="true" outlineLevel="0" collapsed="false">
      <c r="A163" s="7" t="s">
        <v>366</v>
      </c>
      <c r="B163" s="8" t="n">
        <v>46194</v>
      </c>
      <c r="C163" s="7" t="s">
        <v>163</v>
      </c>
      <c r="D163" s="7" t="s">
        <v>158</v>
      </c>
      <c r="E163" s="7" t="s">
        <v>159</v>
      </c>
      <c r="F163" s="7"/>
      <c r="G163" s="7" t="s">
        <v>16</v>
      </c>
      <c r="H163" s="7" t="s">
        <v>208</v>
      </c>
      <c r="I163" s="7" t="s">
        <v>88</v>
      </c>
      <c r="J163" s="7" t="s">
        <v>205</v>
      </c>
      <c r="K163" s="7" t="s">
        <v>205</v>
      </c>
      <c r="L163" s="22" t="n">
        <v>0</v>
      </c>
      <c r="M163" s="7" t="s">
        <v>209</v>
      </c>
      <c r="N163" s="3"/>
      <c r="O163" s="3"/>
      <c r="P163" s="3"/>
    </row>
    <row r="164" customFormat="false" ht="15.75" hidden="false" customHeight="true" outlineLevel="0" collapsed="false">
      <c r="A164" s="7" t="s">
        <v>367</v>
      </c>
      <c r="B164" s="8" t="n">
        <v>46185</v>
      </c>
      <c r="C164" s="7" t="s">
        <v>163</v>
      </c>
      <c r="D164" s="7" t="s">
        <v>158</v>
      </c>
      <c r="E164" s="7" t="s">
        <v>159</v>
      </c>
      <c r="F164" s="7"/>
      <c r="G164" s="7" t="s">
        <v>16</v>
      </c>
      <c r="H164" s="7" t="s">
        <v>208</v>
      </c>
      <c r="I164" s="7" t="s">
        <v>93</v>
      </c>
      <c r="J164" s="7" t="s">
        <v>50</v>
      </c>
      <c r="K164" s="7" t="s">
        <v>205</v>
      </c>
      <c r="L164" s="22" t="n">
        <v>23448</v>
      </c>
      <c r="M164" s="7" t="s">
        <v>206</v>
      </c>
      <c r="N164" s="3"/>
      <c r="O164" s="3"/>
      <c r="P164" s="3"/>
    </row>
    <row r="165" customFormat="false" ht="15.75" hidden="false" customHeight="true" outlineLevel="0" collapsed="false">
      <c r="A165" s="7" t="s">
        <v>368</v>
      </c>
      <c r="B165" s="8" t="n">
        <v>46199</v>
      </c>
      <c r="C165" s="7" t="s">
        <v>163</v>
      </c>
      <c r="D165" s="7" t="s">
        <v>158</v>
      </c>
      <c r="E165" s="7" t="s">
        <v>159</v>
      </c>
      <c r="F165" s="7"/>
      <c r="G165" s="7" t="s">
        <v>16</v>
      </c>
      <c r="H165" s="7" t="s">
        <v>208</v>
      </c>
      <c r="I165" s="7" t="s">
        <v>93</v>
      </c>
      <c r="J165" s="7" t="s">
        <v>50</v>
      </c>
      <c r="K165" s="7" t="s">
        <v>205</v>
      </c>
      <c r="L165" s="22" t="n">
        <v>16887</v>
      </c>
      <c r="M165" s="7" t="s">
        <v>209</v>
      </c>
      <c r="N165" s="3"/>
      <c r="O165" s="3"/>
      <c r="P165" s="3"/>
    </row>
    <row r="166" customFormat="false" ht="15.75" hidden="false" customHeight="true" outlineLevel="0" collapsed="false">
      <c r="A166" s="7" t="s">
        <v>369</v>
      </c>
      <c r="B166" s="8" t="n">
        <v>46191</v>
      </c>
      <c r="C166" s="7" t="s">
        <v>157</v>
      </c>
      <c r="D166" s="7" t="s">
        <v>158</v>
      </c>
      <c r="E166" s="7" t="s">
        <v>159</v>
      </c>
      <c r="F166" s="7"/>
      <c r="G166" s="7" t="s">
        <v>16</v>
      </c>
      <c r="H166" s="7" t="s">
        <v>183</v>
      </c>
      <c r="I166" s="7" t="s">
        <v>88</v>
      </c>
      <c r="J166" s="7" t="s">
        <v>205</v>
      </c>
      <c r="K166" s="7" t="s">
        <v>205</v>
      </c>
      <c r="L166" s="22" t="n">
        <v>0</v>
      </c>
      <c r="M166" s="7" t="s">
        <v>206</v>
      </c>
      <c r="N166" s="3"/>
      <c r="O166" s="3"/>
      <c r="P166" s="3"/>
    </row>
    <row r="167" customFormat="false" ht="15.75" hidden="false" customHeight="true" outlineLevel="0" collapsed="false">
      <c r="A167" s="7" t="s">
        <v>370</v>
      </c>
      <c r="B167" s="8" t="n">
        <v>46189</v>
      </c>
      <c r="C167" s="7" t="s">
        <v>162</v>
      </c>
      <c r="D167" s="7" t="s">
        <v>158</v>
      </c>
      <c r="E167" s="7" t="s">
        <v>159</v>
      </c>
      <c r="F167" s="7"/>
      <c r="G167" s="7" t="s">
        <v>16</v>
      </c>
      <c r="H167" s="7" t="s">
        <v>211</v>
      </c>
      <c r="I167" s="7" t="s">
        <v>107</v>
      </c>
      <c r="J167" s="7" t="s">
        <v>50</v>
      </c>
      <c r="K167" s="7" t="s">
        <v>50</v>
      </c>
      <c r="L167" s="22" t="n">
        <v>15595</v>
      </c>
      <c r="M167" s="7" t="s">
        <v>206</v>
      </c>
      <c r="N167" s="3"/>
      <c r="O167" s="3"/>
      <c r="P167" s="3"/>
    </row>
    <row r="168" customFormat="false" ht="15.75" hidden="false" customHeight="true" outlineLevel="0" collapsed="false">
      <c r="A168" s="7" t="s">
        <v>371</v>
      </c>
      <c r="B168" s="8" t="n">
        <v>46188</v>
      </c>
      <c r="C168" s="7" t="s">
        <v>161</v>
      </c>
      <c r="D168" s="7" t="s">
        <v>158</v>
      </c>
      <c r="E168" s="7" t="s">
        <v>159</v>
      </c>
      <c r="F168" s="7"/>
      <c r="G168" s="7" t="s">
        <v>16</v>
      </c>
      <c r="H168" s="7" t="s">
        <v>185</v>
      </c>
      <c r="I168" s="7" t="s">
        <v>93</v>
      </c>
      <c r="J168" s="7" t="s">
        <v>50</v>
      </c>
      <c r="K168" s="7" t="s">
        <v>205</v>
      </c>
      <c r="L168" s="22" t="n">
        <v>16859</v>
      </c>
      <c r="M168" s="7" t="s">
        <v>209</v>
      </c>
      <c r="N168" s="3"/>
      <c r="O168" s="3"/>
      <c r="P168" s="3"/>
    </row>
    <row r="169" customFormat="false" ht="15.75" hidden="false" customHeight="true" outlineLevel="0" collapsed="false">
      <c r="A169" s="7" t="s">
        <v>372</v>
      </c>
      <c r="B169" s="8" t="n">
        <v>46193</v>
      </c>
      <c r="C169" s="7" t="s">
        <v>163</v>
      </c>
      <c r="D169" s="7" t="s">
        <v>158</v>
      </c>
      <c r="E169" s="7" t="s">
        <v>159</v>
      </c>
      <c r="F169" s="7"/>
      <c r="G169" s="7" t="s">
        <v>16</v>
      </c>
      <c r="H169" s="7" t="s">
        <v>208</v>
      </c>
      <c r="I169" s="7" t="s">
        <v>93</v>
      </c>
      <c r="J169" s="7" t="s">
        <v>50</v>
      </c>
      <c r="K169" s="7" t="s">
        <v>205</v>
      </c>
      <c r="L169" s="22" t="n">
        <v>13792</v>
      </c>
      <c r="M169" s="7" t="s">
        <v>206</v>
      </c>
      <c r="N169" s="3"/>
      <c r="O169" s="3"/>
      <c r="P169" s="3"/>
    </row>
    <row r="170" customFormat="false" ht="15.75" hidden="false" customHeight="true" outlineLevel="0" collapsed="false">
      <c r="A170" s="7" t="s">
        <v>373</v>
      </c>
      <c r="B170" s="8" t="n">
        <v>46193</v>
      </c>
      <c r="C170" s="7" t="s">
        <v>162</v>
      </c>
      <c r="D170" s="7" t="s">
        <v>158</v>
      </c>
      <c r="E170" s="7" t="s">
        <v>159</v>
      </c>
      <c r="F170" s="7"/>
      <c r="G170" s="7" t="s">
        <v>16</v>
      </c>
      <c r="H170" s="7" t="s">
        <v>211</v>
      </c>
      <c r="I170" s="7" t="s">
        <v>93</v>
      </c>
      <c r="J170" s="7" t="s">
        <v>50</v>
      </c>
      <c r="K170" s="7" t="s">
        <v>205</v>
      </c>
      <c r="L170" s="22" t="n">
        <v>22311</v>
      </c>
      <c r="M170" s="7" t="s">
        <v>209</v>
      </c>
      <c r="N170" s="3"/>
      <c r="O170" s="3"/>
      <c r="P170" s="3"/>
    </row>
    <row r="171" customFormat="false" ht="15.75" hidden="false" customHeight="true" outlineLevel="0" collapsed="false">
      <c r="A171" s="7" t="s">
        <v>374</v>
      </c>
      <c r="B171" s="8" t="n">
        <v>46195</v>
      </c>
      <c r="C171" s="7" t="s">
        <v>162</v>
      </c>
      <c r="D171" s="7" t="s">
        <v>158</v>
      </c>
      <c r="E171" s="7" t="s">
        <v>159</v>
      </c>
      <c r="F171" s="7"/>
      <c r="G171" s="7" t="s">
        <v>16</v>
      </c>
      <c r="H171" s="7" t="s">
        <v>211</v>
      </c>
      <c r="I171" s="7" t="s">
        <v>93</v>
      </c>
      <c r="J171" s="7" t="s">
        <v>50</v>
      </c>
      <c r="K171" s="7" t="s">
        <v>205</v>
      </c>
      <c r="L171" s="22" t="n">
        <v>20540</v>
      </c>
      <c r="M171" s="7" t="s">
        <v>209</v>
      </c>
      <c r="N171" s="3"/>
      <c r="O171" s="3"/>
      <c r="P171" s="3"/>
    </row>
    <row r="172" customFormat="false" ht="15.75" hidden="false" customHeight="true" outlineLevel="0" collapsed="false">
      <c r="A172" s="7" t="s">
        <v>375</v>
      </c>
      <c r="B172" s="8" t="n">
        <v>46186</v>
      </c>
      <c r="C172" s="7" t="s">
        <v>163</v>
      </c>
      <c r="D172" s="7" t="s">
        <v>158</v>
      </c>
      <c r="E172" s="7" t="s">
        <v>159</v>
      </c>
      <c r="F172" s="7"/>
      <c r="G172" s="7" t="s">
        <v>16</v>
      </c>
      <c r="H172" s="7" t="s">
        <v>208</v>
      </c>
      <c r="I172" s="7" t="s">
        <v>107</v>
      </c>
      <c r="J172" s="7" t="s">
        <v>50</v>
      </c>
      <c r="K172" s="7" t="s">
        <v>50</v>
      </c>
      <c r="L172" s="22" t="n">
        <v>22247</v>
      </c>
      <c r="M172" s="7" t="s">
        <v>206</v>
      </c>
      <c r="N172" s="3"/>
      <c r="O172" s="3"/>
      <c r="P172" s="3"/>
    </row>
    <row r="173" customFormat="false" ht="15.75" hidden="false" customHeight="true" outlineLevel="0" collapsed="false">
      <c r="A173" s="7" t="s">
        <v>376</v>
      </c>
      <c r="B173" s="8" t="n">
        <v>46178</v>
      </c>
      <c r="C173" s="7" t="s">
        <v>161</v>
      </c>
      <c r="D173" s="7" t="s">
        <v>158</v>
      </c>
      <c r="E173" s="7" t="s">
        <v>159</v>
      </c>
      <c r="F173" s="7"/>
      <c r="G173" s="7" t="s">
        <v>16</v>
      </c>
      <c r="H173" s="7" t="s">
        <v>185</v>
      </c>
      <c r="I173" s="7" t="s">
        <v>93</v>
      </c>
      <c r="J173" s="7" t="s">
        <v>50</v>
      </c>
      <c r="K173" s="7" t="s">
        <v>205</v>
      </c>
      <c r="L173" s="22" t="n">
        <v>8508</v>
      </c>
      <c r="M173" s="7" t="s">
        <v>206</v>
      </c>
      <c r="N173" s="3"/>
      <c r="O173" s="3"/>
      <c r="P173" s="3"/>
    </row>
    <row r="174" customFormat="false" ht="15.75" hidden="false" customHeight="true" outlineLevel="0" collapsed="false">
      <c r="A174" s="7" t="s">
        <v>377</v>
      </c>
      <c r="B174" s="8" t="n">
        <v>46201</v>
      </c>
      <c r="C174" s="7" t="s">
        <v>162</v>
      </c>
      <c r="D174" s="7" t="s">
        <v>158</v>
      </c>
      <c r="E174" s="7" t="s">
        <v>159</v>
      </c>
      <c r="F174" s="7"/>
      <c r="G174" s="7" t="s">
        <v>16</v>
      </c>
      <c r="H174" s="7" t="s">
        <v>211</v>
      </c>
      <c r="I174" s="7" t="s">
        <v>88</v>
      </c>
      <c r="J174" s="7" t="s">
        <v>205</v>
      </c>
      <c r="K174" s="7" t="s">
        <v>205</v>
      </c>
      <c r="L174" s="22" t="n">
        <v>0</v>
      </c>
      <c r="M174" s="7" t="s">
        <v>206</v>
      </c>
      <c r="N174" s="3"/>
      <c r="O174" s="3"/>
      <c r="P174" s="3"/>
    </row>
    <row r="175" customFormat="false" ht="15.75" hidden="false" customHeight="true" outlineLevel="0" collapsed="false">
      <c r="A175" s="7" t="s">
        <v>378</v>
      </c>
      <c r="B175" s="8" t="n">
        <v>46203</v>
      </c>
      <c r="C175" s="7" t="s">
        <v>163</v>
      </c>
      <c r="D175" s="7" t="s">
        <v>158</v>
      </c>
      <c r="E175" s="7" t="s">
        <v>159</v>
      </c>
      <c r="F175" s="7"/>
      <c r="G175" s="7" t="s">
        <v>16</v>
      </c>
      <c r="H175" s="7" t="s">
        <v>208</v>
      </c>
      <c r="I175" s="7" t="s">
        <v>93</v>
      </c>
      <c r="J175" s="7" t="s">
        <v>50</v>
      </c>
      <c r="K175" s="7" t="s">
        <v>205</v>
      </c>
      <c r="L175" s="22" t="n">
        <v>13417</v>
      </c>
      <c r="M175" s="7" t="s">
        <v>209</v>
      </c>
      <c r="N175" s="3"/>
      <c r="O175" s="3"/>
      <c r="P175" s="3"/>
    </row>
    <row r="176" customFormat="false" ht="15.75" hidden="false" customHeight="true" outlineLevel="0" collapsed="false">
      <c r="A176" s="7" t="s">
        <v>379</v>
      </c>
      <c r="B176" s="8" t="n">
        <v>46174</v>
      </c>
      <c r="C176" s="7" t="s">
        <v>157</v>
      </c>
      <c r="D176" s="7" t="s">
        <v>158</v>
      </c>
      <c r="E176" s="7" t="s">
        <v>159</v>
      </c>
      <c r="F176" s="7"/>
      <c r="G176" s="7" t="s">
        <v>16</v>
      </c>
      <c r="H176" s="7" t="s">
        <v>183</v>
      </c>
      <c r="I176" s="7" t="s">
        <v>93</v>
      </c>
      <c r="J176" s="7" t="s">
        <v>50</v>
      </c>
      <c r="K176" s="7" t="s">
        <v>205</v>
      </c>
      <c r="L176" s="22" t="n">
        <v>15869</v>
      </c>
      <c r="M176" s="7" t="s">
        <v>206</v>
      </c>
      <c r="N176" s="3"/>
      <c r="O176" s="3"/>
      <c r="P176" s="3"/>
    </row>
    <row r="177" customFormat="false" ht="15.75" hidden="false" customHeight="true" outlineLevel="0" collapsed="false">
      <c r="A177" s="7" t="s">
        <v>380</v>
      </c>
      <c r="B177" s="8" t="n">
        <v>46203</v>
      </c>
      <c r="C177" s="7" t="s">
        <v>157</v>
      </c>
      <c r="D177" s="7" t="s">
        <v>158</v>
      </c>
      <c r="E177" s="7" t="s">
        <v>159</v>
      </c>
      <c r="F177" s="7"/>
      <c r="G177" s="7" t="s">
        <v>16</v>
      </c>
      <c r="H177" s="7" t="s">
        <v>183</v>
      </c>
      <c r="I177" s="7" t="s">
        <v>93</v>
      </c>
      <c r="J177" s="7" t="s">
        <v>50</v>
      </c>
      <c r="K177" s="7" t="s">
        <v>205</v>
      </c>
      <c r="L177" s="22" t="n">
        <v>20200</v>
      </c>
      <c r="M177" s="7" t="s">
        <v>209</v>
      </c>
      <c r="N177" s="3"/>
      <c r="O177" s="3"/>
      <c r="P177" s="3"/>
    </row>
    <row r="178" customFormat="false" ht="15.75" hidden="false" customHeight="true" outlineLevel="0" collapsed="false">
      <c r="A178" s="7" t="s">
        <v>381</v>
      </c>
      <c r="B178" s="8" t="n">
        <v>46189</v>
      </c>
      <c r="C178" s="7" t="s">
        <v>157</v>
      </c>
      <c r="D178" s="7" t="s">
        <v>158</v>
      </c>
      <c r="E178" s="7" t="s">
        <v>159</v>
      </c>
      <c r="F178" s="7"/>
      <c r="G178" s="7" t="s">
        <v>16</v>
      </c>
      <c r="H178" s="7" t="s">
        <v>183</v>
      </c>
      <c r="I178" s="7" t="s">
        <v>93</v>
      </c>
      <c r="J178" s="7" t="s">
        <v>50</v>
      </c>
      <c r="K178" s="7" t="s">
        <v>205</v>
      </c>
      <c r="L178" s="22" t="n">
        <v>15347</v>
      </c>
      <c r="M178" s="7" t="s">
        <v>206</v>
      </c>
      <c r="N178" s="3"/>
      <c r="O178" s="3"/>
      <c r="P178" s="3"/>
    </row>
    <row r="179" customFormat="false" ht="15.75" hidden="false" customHeight="true" outlineLevel="0" collapsed="false">
      <c r="A179" s="7" t="s">
        <v>382</v>
      </c>
      <c r="B179" s="8" t="n">
        <v>46179</v>
      </c>
      <c r="C179" s="7" t="s">
        <v>163</v>
      </c>
      <c r="D179" s="7" t="s">
        <v>158</v>
      </c>
      <c r="E179" s="7" t="s">
        <v>159</v>
      </c>
      <c r="F179" s="7"/>
      <c r="G179" s="7" t="s">
        <v>16</v>
      </c>
      <c r="H179" s="7" t="s">
        <v>208</v>
      </c>
      <c r="I179" s="7" t="s">
        <v>88</v>
      </c>
      <c r="J179" s="7" t="s">
        <v>205</v>
      </c>
      <c r="K179" s="7" t="s">
        <v>205</v>
      </c>
      <c r="L179" s="22" t="n">
        <v>0</v>
      </c>
      <c r="M179" s="7" t="s">
        <v>209</v>
      </c>
      <c r="N179" s="3"/>
      <c r="O179" s="3"/>
      <c r="P179" s="3"/>
    </row>
    <row r="180" customFormat="false" ht="15.75" hidden="false" customHeight="true" outlineLevel="0" collapsed="false">
      <c r="A180" s="7" t="s">
        <v>383</v>
      </c>
      <c r="B180" s="8" t="n">
        <v>46182</v>
      </c>
      <c r="C180" s="7" t="s">
        <v>161</v>
      </c>
      <c r="D180" s="7" t="s">
        <v>158</v>
      </c>
      <c r="E180" s="7" t="s">
        <v>159</v>
      </c>
      <c r="F180" s="7"/>
      <c r="G180" s="7" t="s">
        <v>16</v>
      </c>
      <c r="H180" s="7" t="s">
        <v>185</v>
      </c>
      <c r="I180" s="7" t="s">
        <v>107</v>
      </c>
      <c r="J180" s="7" t="s">
        <v>50</v>
      </c>
      <c r="K180" s="7" t="s">
        <v>50</v>
      </c>
      <c r="L180" s="22" t="n">
        <v>15909</v>
      </c>
      <c r="M180" s="7" t="s">
        <v>206</v>
      </c>
      <c r="N180" s="3"/>
      <c r="O180" s="3"/>
      <c r="P180" s="3"/>
    </row>
    <row r="181" customFormat="false" ht="15.75" hidden="false" customHeight="true" outlineLevel="0" collapsed="false">
      <c r="A181" s="7" t="s">
        <v>384</v>
      </c>
      <c r="B181" s="8" t="n">
        <v>46179</v>
      </c>
      <c r="C181" s="7" t="s">
        <v>162</v>
      </c>
      <c r="D181" s="7" t="s">
        <v>158</v>
      </c>
      <c r="E181" s="7" t="s">
        <v>159</v>
      </c>
      <c r="F181" s="7"/>
      <c r="G181" s="7" t="s">
        <v>16</v>
      </c>
      <c r="H181" s="7" t="s">
        <v>211</v>
      </c>
      <c r="I181" s="7" t="s">
        <v>93</v>
      </c>
      <c r="J181" s="7" t="s">
        <v>50</v>
      </c>
      <c r="K181" s="7" t="s">
        <v>205</v>
      </c>
      <c r="L181" s="22" t="n">
        <v>15449</v>
      </c>
      <c r="M181" s="7" t="s">
        <v>206</v>
      </c>
      <c r="N181" s="3"/>
      <c r="O181" s="3"/>
      <c r="P181" s="3"/>
    </row>
    <row r="182" customFormat="false" ht="15.75" hidden="false" customHeight="true" outlineLevel="0" collapsed="false">
      <c r="A182" s="7" t="s">
        <v>385</v>
      </c>
      <c r="B182" s="8" t="n">
        <v>46196</v>
      </c>
      <c r="C182" s="7" t="s">
        <v>162</v>
      </c>
      <c r="D182" s="7" t="s">
        <v>158</v>
      </c>
      <c r="E182" s="7" t="s">
        <v>159</v>
      </c>
      <c r="F182" s="7"/>
      <c r="G182" s="7" t="s">
        <v>16</v>
      </c>
      <c r="H182" s="7" t="s">
        <v>211</v>
      </c>
      <c r="I182" s="7" t="s">
        <v>88</v>
      </c>
      <c r="J182" s="7" t="s">
        <v>205</v>
      </c>
      <c r="K182" s="7" t="s">
        <v>205</v>
      </c>
      <c r="L182" s="22" t="n">
        <v>0</v>
      </c>
      <c r="M182" s="7" t="s">
        <v>206</v>
      </c>
      <c r="N182" s="3"/>
      <c r="O182" s="3"/>
      <c r="P182" s="3"/>
    </row>
    <row r="183" customFormat="false" ht="15.75" hidden="false" customHeight="true" outlineLevel="0" collapsed="false">
      <c r="A183" s="7" t="s">
        <v>386</v>
      </c>
      <c r="B183" s="8" t="n">
        <v>46184</v>
      </c>
      <c r="C183" s="7" t="s">
        <v>161</v>
      </c>
      <c r="D183" s="7" t="s">
        <v>158</v>
      </c>
      <c r="E183" s="7" t="s">
        <v>159</v>
      </c>
      <c r="F183" s="7"/>
      <c r="G183" s="7" t="s">
        <v>16</v>
      </c>
      <c r="H183" s="7" t="s">
        <v>185</v>
      </c>
      <c r="I183" s="7" t="s">
        <v>88</v>
      </c>
      <c r="J183" s="7" t="s">
        <v>205</v>
      </c>
      <c r="K183" s="7" t="s">
        <v>205</v>
      </c>
      <c r="L183" s="22" t="n">
        <v>0</v>
      </c>
      <c r="M183" s="7" t="s">
        <v>209</v>
      </c>
      <c r="N183" s="3"/>
      <c r="O183" s="3"/>
      <c r="P183" s="3"/>
    </row>
    <row r="184" customFormat="false" ht="15.75" hidden="false" customHeight="true" outlineLevel="0" collapsed="false">
      <c r="A184" s="7" t="s">
        <v>387</v>
      </c>
      <c r="B184" s="8" t="n">
        <v>46180</v>
      </c>
      <c r="C184" s="7" t="s">
        <v>161</v>
      </c>
      <c r="D184" s="7" t="s">
        <v>158</v>
      </c>
      <c r="E184" s="7" t="s">
        <v>159</v>
      </c>
      <c r="F184" s="7"/>
      <c r="G184" s="7" t="s">
        <v>16</v>
      </c>
      <c r="H184" s="7" t="s">
        <v>185</v>
      </c>
      <c r="I184" s="7" t="s">
        <v>93</v>
      </c>
      <c r="J184" s="7" t="s">
        <v>50</v>
      </c>
      <c r="K184" s="7" t="s">
        <v>205</v>
      </c>
      <c r="L184" s="22" t="n">
        <v>11375</v>
      </c>
      <c r="M184" s="7" t="s">
        <v>206</v>
      </c>
      <c r="N184" s="3"/>
      <c r="O184" s="3"/>
      <c r="P184" s="3"/>
    </row>
    <row r="185" customFormat="false" ht="15.75" hidden="false" customHeight="true" outlineLevel="0" collapsed="false">
      <c r="A185" s="7" t="s">
        <v>388</v>
      </c>
      <c r="B185" s="8" t="n">
        <v>46177</v>
      </c>
      <c r="C185" s="7" t="s">
        <v>157</v>
      </c>
      <c r="D185" s="7" t="s">
        <v>158</v>
      </c>
      <c r="E185" s="7" t="s">
        <v>159</v>
      </c>
      <c r="F185" s="7"/>
      <c r="G185" s="7" t="s">
        <v>16</v>
      </c>
      <c r="H185" s="7" t="s">
        <v>183</v>
      </c>
      <c r="I185" s="7" t="s">
        <v>107</v>
      </c>
      <c r="J185" s="7" t="s">
        <v>50</v>
      </c>
      <c r="K185" s="7" t="s">
        <v>50</v>
      </c>
      <c r="L185" s="22" t="n">
        <v>16628</v>
      </c>
      <c r="M185" s="7" t="s">
        <v>209</v>
      </c>
      <c r="N185" s="3"/>
      <c r="O185" s="3"/>
      <c r="P185" s="3"/>
    </row>
    <row r="186" customFormat="false" ht="15.75" hidden="false" customHeight="true" outlineLevel="0" collapsed="false">
      <c r="A186" s="7" t="s">
        <v>389</v>
      </c>
      <c r="B186" s="8" t="n">
        <v>46184</v>
      </c>
      <c r="C186" s="7" t="s">
        <v>161</v>
      </c>
      <c r="D186" s="7" t="s">
        <v>158</v>
      </c>
      <c r="E186" s="7" t="s">
        <v>159</v>
      </c>
      <c r="F186" s="7"/>
      <c r="G186" s="7" t="s">
        <v>16</v>
      </c>
      <c r="H186" s="7" t="s">
        <v>185</v>
      </c>
      <c r="I186" s="7" t="s">
        <v>93</v>
      </c>
      <c r="J186" s="7" t="s">
        <v>50</v>
      </c>
      <c r="K186" s="7" t="s">
        <v>205</v>
      </c>
      <c r="L186" s="22" t="n">
        <v>15606</v>
      </c>
      <c r="M186" s="7" t="s">
        <v>209</v>
      </c>
      <c r="N186" s="3"/>
      <c r="O186" s="3"/>
      <c r="P186" s="3"/>
    </row>
    <row r="187" customFormat="false" ht="15.75" hidden="false" customHeight="true" outlineLevel="0" collapsed="false">
      <c r="A187" s="7" t="s">
        <v>390</v>
      </c>
      <c r="B187" s="8" t="n">
        <v>46196</v>
      </c>
      <c r="C187" s="7" t="s">
        <v>161</v>
      </c>
      <c r="D187" s="7" t="s">
        <v>158</v>
      </c>
      <c r="E187" s="7" t="s">
        <v>159</v>
      </c>
      <c r="F187" s="7"/>
      <c r="G187" s="7" t="s">
        <v>16</v>
      </c>
      <c r="H187" s="7" t="s">
        <v>185</v>
      </c>
      <c r="I187" s="7" t="s">
        <v>88</v>
      </c>
      <c r="J187" s="7" t="s">
        <v>205</v>
      </c>
      <c r="K187" s="7" t="s">
        <v>205</v>
      </c>
      <c r="L187" s="22" t="n">
        <v>0</v>
      </c>
      <c r="M187" s="7" t="s">
        <v>209</v>
      </c>
      <c r="N187" s="3"/>
      <c r="O187" s="3"/>
      <c r="P187" s="3"/>
    </row>
    <row r="188" customFormat="false" ht="15.75" hidden="false" customHeight="true" outlineLevel="0" collapsed="false">
      <c r="A188" s="7" t="s">
        <v>391</v>
      </c>
      <c r="B188" s="8" t="n">
        <v>46199</v>
      </c>
      <c r="C188" s="7" t="s">
        <v>161</v>
      </c>
      <c r="D188" s="7" t="s">
        <v>158</v>
      </c>
      <c r="E188" s="7" t="s">
        <v>159</v>
      </c>
      <c r="F188" s="7"/>
      <c r="G188" s="7" t="s">
        <v>16</v>
      </c>
      <c r="H188" s="7" t="s">
        <v>185</v>
      </c>
      <c r="I188" s="7" t="s">
        <v>93</v>
      </c>
      <c r="J188" s="7" t="s">
        <v>50</v>
      </c>
      <c r="K188" s="7" t="s">
        <v>205</v>
      </c>
      <c r="L188" s="22" t="n">
        <v>12204</v>
      </c>
      <c r="M188" s="7" t="s">
        <v>206</v>
      </c>
      <c r="N188" s="3"/>
      <c r="O188" s="3"/>
      <c r="P188" s="3"/>
    </row>
    <row r="189" customFormat="false" ht="15.75" hidden="false" customHeight="true" outlineLevel="0" collapsed="false">
      <c r="A189" s="7" t="s">
        <v>392</v>
      </c>
      <c r="B189" s="8" t="n">
        <v>46190</v>
      </c>
      <c r="C189" s="7" t="s">
        <v>161</v>
      </c>
      <c r="D189" s="7" t="s">
        <v>158</v>
      </c>
      <c r="E189" s="7" t="s">
        <v>159</v>
      </c>
      <c r="F189" s="7"/>
      <c r="G189" s="7" t="s">
        <v>16</v>
      </c>
      <c r="H189" s="7" t="s">
        <v>185</v>
      </c>
      <c r="I189" s="7" t="s">
        <v>93</v>
      </c>
      <c r="J189" s="7" t="s">
        <v>50</v>
      </c>
      <c r="K189" s="7" t="s">
        <v>205</v>
      </c>
      <c r="L189" s="22" t="n">
        <v>17304</v>
      </c>
      <c r="M189" s="7" t="s">
        <v>206</v>
      </c>
      <c r="N189" s="3"/>
      <c r="O189" s="3"/>
      <c r="P189" s="3"/>
    </row>
    <row r="190" customFormat="false" ht="15.75" hidden="false" customHeight="true" outlineLevel="0" collapsed="false">
      <c r="A190" s="7" t="s">
        <v>393</v>
      </c>
      <c r="B190" s="8" t="n">
        <v>46185</v>
      </c>
      <c r="C190" s="7" t="s">
        <v>163</v>
      </c>
      <c r="D190" s="7" t="s">
        <v>158</v>
      </c>
      <c r="E190" s="7" t="s">
        <v>159</v>
      </c>
      <c r="F190" s="7"/>
      <c r="G190" s="7" t="s">
        <v>16</v>
      </c>
      <c r="H190" s="7" t="s">
        <v>208</v>
      </c>
      <c r="I190" s="7" t="s">
        <v>88</v>
      </c>
      <c r="J190" s="7" t="s">
        <v>205</v>
      </c>
      <c r="K190" s="7" t="s">
        <v>205</v>
      </c>
      <c r="L190" s="22" t="n">
        <v>0</v>
      </c>
      <c r="M190" s="7" t="s">
        <v>209</v>
      </c>
      <c r="N190" s="3"/>
      <c r="O190" s="3"/>
      <c r="P190" s="3"/>
    </row>
    <row r="191" customFormat="false" ht="15.75" hidden="false" customHeight="true" outlineLevel="0" collapsed="false">
      <c r="A191" s="7" t="s">
        <v>394</v>
      </c>
      <c r="B191" s="8" t="n">
        <v>46182</v>
      </c>
      <c r="C191" s="7" t="s">
        <v>157</v>
      </c>
      <c r="D191" s="7" t="s">
        <v>158</v>
      </c>
      <c r="E191" s="7" t="s">
        <v>159</v>
      </c>
      <c r="F191" s="7"/>
      <c r="G191" s="7" t="s">
        <v>16</v>
      </c>
      <c r="H191" s="7" t="s">
        <v>183</v>
      </c>
      <c r="I191" s="7" t="s">
        <v>93</v>
      </c>
      <c r="J191" s="7" t="s">
        <v>50</v>
      </c>
      <c r="K191" s="7" t="s">
        <v>205</v>
      </c>
      <c r="L191" s="22" t="n">
        <v>12072</v>
      </c>
      <c r="M191" s="7" t="s">
        <v>209</v>
      </c>
      <c r="N191" s="3"/>
      <c r="O191" s="3"/>
      <c r="P191" s="3"/>
    </row>
    <row r="192" customFormat="false" ht="15.75" hidden="false" customHeight="true" outlineLevel="0" collapsed="false">
      <c r="A192" s="7" t="s">
        <v>395</v>
      </c>
      <c r="B192" s="8" t="n">
        <v>46195</v>
      </c>
      <c r="C192" s="7" t="s">
        <v>162</v>
      </c>
      <c r="D192" s="7" t="s">
        <v>158</v>
      </c>
      <c r="E192" s="7" t="s">
        <v>159</v>
      </c>
      <c r="F192" s="7"/>
      <c r="G192" s="7" t="s">
        <v>16</v>
      </c>
      <c r="H192" s="7" t="s">
        <v>211</v>
      </c>
      <c r="I192" s="7" t="s">
        <v>93</v>
      </c>
      <c r="J192" s="7" t="s">
        <v>50</v>
      </c>
      <c r="K192" s="7" t="s">
        <v>205</v>
      </c>
      <c r="L192" s="22" t="n">
        <v>19680</v>
      </c>
      <c r="M192" s="7" t="s">
        <v>209</v>
      </c>
      <c r="N192" s="3"/>
      <c r="O192" s="3"/>
      <c r="P192" s="3"/>
    </row>
    <row r="193" customFormat="false" ht="15.75" hidden="false" customHeight="true" outlineLevel="0" collapsed="false">
      <c r="A193" s="7" t="s">
        <v>396</v>
      </c>
      <c r="B193" s="8" t="n">
        <v>46181</v>
      </c>
      <c r="C193" s="7" t="s">
        <v>162</v>
      </c>
      <c r="D193" s="7" t="s">
        <v>158</v>
      </c>
      <c r="E193" s="7" t="s">
        <v>159</v>
      </c>
      <c r="F193" s="7"/>
      <c r="G193" s="7" t="s">
        <v>16</v>
      </c>
      <c r="H193" s="7" t="s">
        <v>211</v>
      </c>
      <c r="I193" s="7" t="s">
        <v>93</v>
      </c>
      <c r="J193" s="7" t="s">
        <v>50</v>
      </c>
      <c r="K193" s="7" t="s">
        <v>205</v>
      </c>
      <c r="L193" s="22" t="n">
        <v>24773</v>
      </c>
      <c r="M193" s="7" t="s">
        <v>206</v>
      </c>
      <c r="N193" s="3"/>
      <c r="O193" s="3"/>
      <c r="P193" s="3"/>
    </row>
    <row r="194" customFormat="false" ht="15.75" hidden="false" customHeight="true" outlineLevel="0" collapsed="false">
      <c r="A194" s="7" t="s">
        <v>397</v>
      </c>
      <c r="B194" s="8" t="n">
        <v>46188</v>
      </c>
      <c r="C194" s="7" t="s">
        <v>162</v>
      </c>
      <c r="D194" s="7" t="s">
        <v>158</v>
      </c>
      <c r="E194" s="7" t="s">
        <v>159</v>
      </c>
      <c r="F194" s="7"/>
      <c r="G194" s="7" t="s">
        <v>16</v>
      </c>
      <c r="H194" s="7" t="s">
        <v>211</v>
      </c>
      <c r="I194" s="7" t="s">
        <v>88</v>
      </c>
      <c r="J194" s="7" t="s">
        <v>205</v>
      </c>
      <c r="K194" s="7" t="s">
        <v>205</v>
      </c>
      <c r="L194" s="22" t="n">
        <v>0</v>
      </c>
      <c r="M194" s="7" t="s">
        <v>206</v>
      </c>
      <c r="N194" s="3"/>
      <c r="O194" s="3"/>
      <c r="P194" s="3"/>
    </row>
    <row r="195" customFormat="false" ht="15.75" hidden="false" customHeight="true" outlineLevel="0" collapsed="false">
      <c r="A195" s="7" t="s">
        <v>398</v>
      </c>
      <c r="B195" s="8" t="n">
        <v>46181</v>
      </c>
      <c r="C195" s="7" t="s">
        <v>162</v>
      </c>
      <c r="D195" s="7" t="s">
        <v>158</v>
      </c>
      <c r="E195" s="7" t="s">
        <v>159</v>
      </c>
      <c r="F195" s="7"/>
      <c r="G195" s="7" t="s">
        <v>16</v>
      </c>
      <c r="H195" s="7" t="s">
        <v>211</v>
      </c>
      <c r="I195" s="7" t="s">
        <v>93</v>
      </c>
      <c r="J195" s="7" t="s">
        <v>50</v>
      </c>
      <c r="K195" s="7" t="s">
        <v>205</v>
      </c>
      <c r="L195" s="22" t="n">
        <v>21931</v>
      </c>
      <c r="M195" s="7" t="s">
        <v>209</v>
      </c>
      <c r="N195" s="3"/>
      <c r="O195" s="3"/>
      <c r="P195" s="3"/>
    </row>
    <row r="196" customFormat="false" ht="15.75" hidden="false" customHeight="true" outlineLevel="0" collapsed="false">
      <c r="A196" s="7" t="s">
        <v>399</v>
      </c>
      <c r="B196" s="8" t="n">
        <v>46191</v>
      </c>
      <c r="C196" s="7" t="s">
        <v>157</v>
      </c>
      <c r="D196" s="7" t="s">
        <v>158</v>
      </c>
      <c r="E196" s="7" t="s">
        <v>159</v>
      </c>
      <c r="F196" s="7"/>
      <c r="G196" s="7" t="s">
        <v>16</v>
      </c>
      <c r="H196" s="7" t="s">
        <v>183</v>
      </c>
      <c r="I196" s="7" t="s">
        <v>93</v>
      </c>
      <c r="J196" s="7" t="s">
        <v>50</v>
      </c>
      <c r="K196" s="7" t="s">
        <v>205</v>
      </c>
      <c r="L196" s="22" t="n">
        <v>17762</v>
      </c>
      <c r="M196" s="7" t="s">
        <v>209</v>
      </c>
      <c r="N196" s="3"/>
      <c r="O196" s="3"/>
      <c r="P196" s="3"/>
    </row>
    <row r="197" customFormat="false" ht="15.75" hidden="false" customHeight="true" outlineLevel="0" collapsed="false">
      <c r="A197" s="7" t="s">
        <v>400</v>
      </c>
      <c r="B197" s="8" t="n">
        <v>46193</v>
      </c>
      <c r="C197" s="7" t="s">
        <v>163</v>
      </c>
      <c r="D197" s="7" t="s">
        <v>158</v>
      </c>
      <c r="E197" s="7" t="s">
        <v>159</v>
      </c>
      <c r="F197" s="7"/>
      <c r="G197" s="7" t="s">
        <v>16</v>
      </c>
      <c r="H197" s="7" t="s">
        <v>208</v>
      </c>
      <c r="I197" s="7" t="s">
        <v>93</v>
      </c>
      <c r="J197" s="7" t="s">
        <v>50</v>
      </c>
      <c r="K197" s="7" t="s">
        <v>205</v>
      </c>
      <c r="L197" s="22" t="n">
        <v>11875</v>
      </c>
      <c r="M197" s="7" t="s">
        <v>209</v>
      </c>
      <c r="N197" s="3"/>
      <c r="O197" s="3"/>
      <c r="P197" s="3"/>
    </row>
    <row r="198" customFormat="false" ht="15.75" hidden="false" customHeight="true" outlineLevel="0" collapsed="false">
      <c r="A198" s="7" t="s">
        <v>401</v>
      </c>
      <c r="B198" s="8" t="n">
        <v>46181</v>
      </c>
      <c r="C198" s="7" t="s">
        <v>161</v>
      </c>
      <c r="D198" s="7" t="s">
        <v>158</v>
      </c>
      <c r="E198" s="7" t="s">
        <v>159</v>
      </c>
      <c r="F198" s="7"/>
      <c r="G198" s="7" t="s">
        <v>16</v>
      </c>
      <c r="H198" s="7" t="s">
        <v>185</v>
      </c>
      <c r="I198" s="7" t="s">
        <v>88</v>
      </c>
      <c r="J198" s="7" t="s">
        <v>205</v>
      </c>
      <c r="K198" s="7" t="s">
        <v>205</v>
      </c>
      <c r="L198" s="22" t="n">
        <v>0</v>
      </c>
      <c r="M198" s="7" t="s">
        <v>206</v>
      </c>
      <c r="N198" s="3"/>
      <c r="O198" s="3"/>
      <c r="P198" s="3"/>
    </row>
    <row r="199" customFormat="false" ht="15.75" hidden="false" customHeight="true" outlineLevel="0" collapsed="false">
      <c r="A199" s="7" t="s">
        <v>402</v>
      </c>
      <c r="B199" s="8" t="n">
        <v>46203</v>
      </c>
      <c r="C199" s="7" t="s">
        <v>162</v>
      </c>
      <c r="D199" s="7" t="s">
        <v>158</v>
      </c>
      <c r="E199" s="7" t="s">
        <v>159</v>
      </c>
      <c r="F199" s="7"/>
      <c r="G199" s="7" t="s">
        <v>16</v>
      </c>
      <c r="H199" s="7" t="s">
        <v>211</v>
      </c>
      <c r="I199" s="7" t="s">
        <v>107</v>
      </c>
      <c r="J199" s="7" t="s">
        <v>50</v>
      </c>
      <c r="K199" s="7" t="s">
        <v>50</v>
      </c>
      <c r="L199" s="22" t="n">
        <v>24244</v>
      </c>
      <c r="M199" s="7" t="s">
        <v>206</v>
      </c>
      <c r="N199" s="3"/>
      <c r="O199" s="3"/>
      <c r="P199" s="3"/>
    </row>
    <row r="200" customFormat="false" ht="15.75" hidden="false" customHeight="true" outlineLevel="0" collapsed="false">
      <c r="A200" s="7" t="s">
        <v>403</v>
      </c>
      <c r="B200" s="8" t="n">
        <v>46175</v>
      </c>
      <c r="C200" s="7" t="s">
        <v>163</v>
      </c>
      <c r="D200" s="7" t="s">
        <v>158</v>
      </c>
      <c r="E200" s="7" t="s">
        <v>159</v>
      </c>
      <c r="F200" s="7"/>
      <c r="G200" s="7" t="s">
        <v>16</v>
      </c>
      <c r="H200" s="7" t="s">
        <v>208</v>
      </c>
      <c r="I200" s="7" t="s">
        <v>93</v>
      </c>
      <c r="J200" s="7" t="s">
        <v>50</v>
      </c>
      <c r="K200" s="7" t="s">
        <v>205</v>
      </c>
      <c r="L200" s="22" t="n">
        <v>24529</v>
      </c>
      <c r="M200" s="7" t="s">
        <v>206</v>
      </c>
      <c r="N200" s="3"/>
      <c r="O200" s="3"/>
      <c r="P200" s="3"/>
    </row>
    <row r="201" customFormat="false" ht="15.75" hidden="false" customHeight="true" outlineLevel="0" collapsed="false">
      <c r="A201" s="7" t="s">
        <v>404</v>
      </c>
      <c r="B201" s="8" t="n">
        <v>46188</v>
      </c>
      <c r="C201" s="7" t="s">
        <v>157</v>
      </c>
      <c r="D201" s="7" t="s">
        <v>158</v>
      </c>
      <c r="E201" s="7" t="s">
        <v>159</v>
      </c>
      <c r="F201" s="7"/>
      <c r="G201" s="7" t="s">
        <v>16</v>
      </c>
      <c r="H201" s="7" t="s">
        <v>183</v>
      </c>
      <c r="I201" s="7" t="s">
        <v>88</v>
      </c>
      <c r="J201" s="7" t="s">
        <v>205</v>
      </c>
      <c r="K201" s="7" t="s">
        <v>205</v>
      </c>
      <c r="L201" s="22" t="n">
        <v>0</v>
      </c>
      <c r="M201" s="7" t="s">
        <v>206</v>
      </c>
      <c r="N201" s="3"/>
      <c r="O201" s="3"/>
      <c r="P201" s="3"/>
    </row>
    <row r="202" customFormat="false" ht="15.75" hidden="false" customHeight="true" outlineLevel="0" collapsed="false">
      <c r="A202" s="7" t="s">
        <v>405</v>
      </c>
      <c r="B202" s="8" t="n">
        <v>46190</v>
      </c>
      <c r="C202" s="7" t="s">
        <v>161</v>
      </c>
      <c r="D202" s="7" t="s">
        <v>158</v>
      </c>
      <c r="E202" s="7" t="s">
        <v>159</v>
      </c>
      <c r="F202" s="7"/>
      <c r="G202" s="7" t="s">
        <v>16</v>
      </c>
      <c r="H202" s="7" t="s">
        <v>185</v>
      </c>
      <c r="I202" s="7" t="s">
        <v>93</v>
      </c>
      <c r="J202" s="7" t="s">
        <v>50</v>
      </c>
      <c r="K202" s="7" t="s">
        <v>205</v>
      </c>
      <c r="L202" s="22" t="n">
        <v>17419</v>
      </c>
      <c r="M202" s="7" t="s">
        <v>209</v>
      </c>
      <c r="N202" s="3"/>
      <c r="O202" s="3"/>
      <c r="P202" s="3"/>
    </row>
    <row r="203" customFormat="false" ht="15.75" hidden="false" customHeight="true" outlineLevel="0" collapsed="false">
      <c r="A203" s="7" t="s">
        <v>406</v>
      </c>
      <c r="B203" s="8" t="n">
        <v>46188</v>
      </c>
      <c r="C203" s="7" t="s">
        <v>163</v>
      </c>
      <c r="D203" s="7" t="s">
        <v>158</v>
      </c>
      <c r="E203" s="7" t="s">
        <v>159</v>
      </c>
      <c r="F203" s="7"/>
      <c r="G203" s="7" t="s">
        <v>16</v>
      </c>
      <c r="H203" s="7" t="s">
        <v>208</v>
      </c>
      <c r="I203" s="7" t="s">
        <v>93</v>
      </c>
      <c r="J203" s="7" t="s">
        <v>50</v>
      </c>
      <c r="K203" s="7" t="s">
        <v>205</v>
      </c>
      <c r="L203" s="22" t="n">
        <v>23681</v>
      </c>
      <c r="M203" s="7" t="s">
        <v>209</v>
      </c>
      <c r="N203" s="3"/>
      <c r="O203" s="3"/>
      <c r="P203" s="3"/>
    </row>
    <row r="204" customFormat="false" ht="15.75" hidden="false" customHeight="true" outlineLevel="0" collapsed="false">
      <c r="A204" s="7" t="s">
        <v>407</v>
      </c>
      <c r="B204" s="8" t="n">
        <v>46188</v>
      </c>
      <c r="C204" s="7" t="s">
        <v>162</v>
      </c>
      <c r="D204" s="7" t="s">
        <v>158</v>
      </c>
      <c r="E204" s="7" t="s">
        <v>159</v>
      </c>
      <c r="F204" s="7"/>
      <c r="G204" s="7" t="s">
        <v>16</v>
      </c>
      <c r="H204" s="7" t="s">
        <v>211</v>
      </c>
      <c r="I204" s="7" t="s">
        <v>88</v>
      </c>
      <c r="J204" s="7" t="s">
        <v>205</v>
      </c>
      <c r="K204" s="7" t="s">
        <v>205</v>
      </c>
      <c r="L204" s="22" t="n">
        <v>0</v>
      </c>
      <c r="M204" s="7" t="s">
        <v>206</v>
      </c>
      <c r="N204" s="3"/>
      <c r="O204" s="3"/>
      <c r="P204" s="3"/>
    </row>
    <row r="205" customFormat="false" ht="15.75" hidden="false" customHeight="true" outlineLevel="0" collapsed="false">
      <c r="A205" s="7" t="s">
        <v>408</v>
      </c>
      <c r="B205" s="8" t="n">
        <v>46200</v>
      </c>
      <c r="C205" s="7" t="s">
        <v>161</v>
      </c>
      <c r="D205" s="7" t="s">
        <v>158</v>
      </c>
      <c r="E205" s="7" t="s">
        <v>159</v>
      </c>
      <c r="F205" s="7"/>
      <c r="G205" s="7" t="s">
        <v>16</v>
      </c>
      <c r="H205" s="7" t="s">
        <v>185</v>
      </c>
      <c r="I205" s="7" t="s">
        <v>107</v>
      </c>
      <c r="J205" s="7" t="s">
        <v>50</v>
      </c>
      <c r="K205" s="7" t="s">
        <v>50</v>
      </c>
      <c r="L205" s="22" t="n">
        <v>17421</v>
      </c>
      <c r="M205" s="7" t="s">
        <v>206</v>
      </c>
      <c r="N205" s="3"/>
      <c r="O205" s="3"/>
      <c r="P205" s="3"/>
    </row>
    <row r="206" customFormat="false" ht="15.75" hidden="false" customHeight="true" outlineLevel="0" collapsed="false">
      <c r="A206" s="7" t="s">
        <v>409</v>
      </c>
      <c r="B206" s="8" t="n">
        <v>46194</v>
      </c>
      <c r="C206" s="7" t="s">
        <v>161</v>
      </c>
      <c r="D206" s="7" t="s">
        <v>158</v>
      </c>
      <c r="E206" s="7" t="s">
        <v>159</v>
      </c>
      <c r="F206" s="7"/>
      <c r="G206" s="7" t="s">
        <v>16</v>
      </c>
      <c r="H206" s="7" t="s">
        <v>185</v>
      </c>
      <c r="I206" s="7" t="s">
        <v>93</v>
      </c>
      <c r="J206" s="7" t="s">
        <v>50</v>
      </c>
      <c r="K206" s="7" t="s">
        <v>205</v>
      </c>
      <c r="L206" s="22" t="n">
        <v>22066</v>
      </c>
      <c r="M206" s="7" t="s">
        <v>206</v>
      </c>
      <c r="N206" s="3"/>
      <c r="O206" s="3"/>
      <c r="P206" s="3"/>
    </row>
    <row r="207" customFormat="false" ht="15.75" hidden="false" customHeight="true" outlineLevel="0" collapsed="false">
      <c r="A207" s="7" t="s">
        <v>410</v>
      </c>
      <c r="B207" s="8" t="n">
        <v>46179</v>
      </c>
      <c r="C207" s="7" t="s">
        <v>162</v>
      </c>
      <c r="D207" s="7" t="s">
        <v>158</v>
      </c>
      <c r="E207" s="7" t="s">
        <v>159</v>
      </c>
      <c r="F207" s="7"/>
      <c r="G207" s="7" t="s">
        <v>16</v>
      </c>
      <c r="H207" s="7" t="s">
        <v>211</v>
      </c>
      <c r="I207" s="7" t="s">
        <v>88</v>
      </c>
      <c r="J207" s="7" t="s">
        <v>205</v>
      </c>
      <c r="K207" s="7" t="s">
        <v>205</v>
      </c>
      <c r="L207" s="22" t="n">
        <v>0</v>
      </c>
      <c r="M207" s="7" t="s">
        <v>206</v>
      </c>
      <c r="N207" s="3"/>
      <c r="O207" s="3"/>
      <c r="P207" s="3"/>
    </row>
    <row r="208" customFormat="false" ht="15.75" hidden="false" customHeight="true" outlineLevel="0" collapsed="false">
      <c r="A208" s="7" t="s">
        <v>411</v>
      </c>
      <c r="B208" s="8" t="n">
        <v>46202</v>
      </c>
      <c r="C208" s="7" t="s">
        <v>161</v>
      </c>
      <c r="D208" s="7" t="s">
        <v>158</v>
      </c>
      <c r="E208" s="7" t="s">
        <v>159</v>
      </c>
      <c r="F208" s="7"/>
      <c r="G208" s="7" t="s">
        <v>16</v>
      </c>
      <c r="H208" s="7" t="s">
        <v>185</v>
      </c>
      <c r="I208" s="7" t="s">
        <v>93</v>
      </c>
      <c r="J208" s="7" t="s">
        <v>50</v>
      </c>
      <c r="K208" s="7" t="s">
        <v>205</v>
      </c>
      <c r="L208" s="22" t="n">
        <v>22673</v>
      </c>
      <c r="M208" s="7" t="s">
        <v>206</v>
      </c>
      <c r="N208" s="3"/>
      <c r="O208" s="3"/>
      <c r="P208" s="3"/>
    </row>
    <row r="209" customFormat="false" ht="15.75" hidden="false" customHeight="true" outlineLevel="0" collapsed="false">
      <c r="A209" s="7" t="s">
        <v>412</v>
      </c>
      <c r="B209" s="8" t="n">
        <v>46187</v>
      </c>
      <c r="C209" s="7" t="s">
        <v>157</v>
      </c>
      <c r="D209" s="7" t="s">
        <v>158</v>
      </c>
      <c r="E209" s="7" t="s">
        <v>159</v>
      </c>
      <c r="F209" s="7"/>
      <c r="G209" s="7" t="s">
        <v>16</v>
      </c>
      <c r="H209" s="7" t="s">
        <v>183</v>
      </c>
      <c r="I209" s="7" t="s">
        <v>88</v>
      </c>
      <c r="J209" s="7" t="s">
        <v>205</v>
      </c>
      <c r="K209" s="7" t="s">
        <v>205</v>
      </c>
      <c r="L209" s="22" t="n">
        <v>0</v>
      </c>
      <c r="M209" s="7" t="s">
        <v>209</v>
      </c>
      <c r="N209" s="3"/>
      <c r="O209" s="3"/>
      <c r="P209" s="3"/>
    </row>
    <row r="210" customFormat="false" ht="15.75" hidden="false" customHeight="true" outlineLevel="0" collapsed="false">
      <c r="A210" s="7" t="s">
        <v>413</v>
      </c>
      <c r="B210" s="8" t="n">
        <v>46188</v>
      </c>
      <c r="C210" s="7" t="s">
        <v>163</v>
      </c>
      <c r="D210" s="7" t="s">
        <v>158</v>
      </c>
      <c r="E210" s="7" t="s">
        <v>159</v>
      </c>
      <c r="F210" s="7"/>
      <c r="G210" s="7" t="s">
        <v>16</v>
      </c>
      <c r="H210" s="7" t="s">
        <v>208</v>
      </c>
      <c r="I210" s="7" t="s">
        <v>93</v>
      </c>
      <c r="J210" s="7" t="s">
        <v>50</v>
      </c>
      <c r="K210" s="7" t="s">
        <v>205</v>
      </c>
      <c r="L210" s="22" t="n">
        <v>14824</v>
      </c>
      <c r="M210" s="7" t="s">
        <v>209</v>
      </c>
      <c r="N210" s="3"/>
      <c r="O210" s="3"/>
      <c r="P210" s="3"/>
    </row>
    <row r="211" customFormat="false" ht="15.75" hidden="false" customHeight="true" outlineLevel="0" collapsed="false">
      <c r="A211" s="7" t="s">
        <v>414</v>
      </c>
      <c r="B211" s="8" t="n">
        <v>46187</v>
      </c>
      <c r="C211" s="7" t="s">
        <v>161</v>
      </c>
      <c r="D211" s="7" t="s">
        <v>158</v>
      </c>
      <c r="E211" s="7" t="s">
        <v>159</v>
      </c>
      <c r="F211" s="7"/>
      <c r="G211" s="7" t="s">
        <v>16</v>
      </c>
      <c r="H211" s="7" t="s">
        <v>185</v>
      </c>
      <c r="I211" s="7" t="s">
        <v>93</v>
      </c>
      <c r="J211" s="7" t="s">
        <v>50</v>
      </c>
      <c r="K211" s="7" t="s">
        <v>205</v>
      </c>
      <c r="L211" s="22" t="n">
        <v>19932</v>
      </c>
      <c r="M211" s="7" t="s">
        <v>209</v>
      </c>
      <c r="N211" s="3"/>
      <c r="O211" s="3"/>
      <c r="P211" s="3"/>
    </row>
    <row r="212" customFormat="false" ht="15.75" hidden="false" customHeight="true" outlineLevel="0" collapsed="false">
      <c r="A212" s="7" t="s">
        <v>415</v>
      </c>
      <c r="B212" s="8" t="n">
        <v>46174</v>
      </c>
      <c r="C212" s="7" t="s">
        <v>162</v>
      </c>
      <c r="D212" s="7" t="s">
        <v>158</v>
      </c>
      <c r="E212" s="7" t="s">
        <v>159</v>
      </c>
      <c r="F212" s="7"/>
      <c r="G212" s="7" t="s">
        <v>16</v>
      </c>
      <c r="H212" s="7" t="s">
        <v>211</v>
      </c>
      <c r="I212" s="7" t="s">
        <v>93</v>
      </c>
      <c r="J212" s="7" t="s">
        <v>50</v>
      </c>
      <c r="K212" s="7" t="s">
        <v>205</v>
      </c>
      <c r="L212" s="22" t="n">
        <v>12491</v>
      </c>
      <c r="M212" s="7" t="s">
        <v>206</v>
      </c>
      <c r="N212" s="3"/>
      <c r="O212" s="3"/>
      <c r="P212" s="3"/>
    </row>
    <row r="213" customFormat="false" ht="15.75" hidden="false" customHeight="true" outlineLevel="0" collapsed="false">
      <c r="A213" s="7" t="s">
        <v>416</v>
      </c>
      <c r="B213" s="8" t="n">
        <v>46202</v>
      </c>
      <c r="C213" s="7" t="s">
        <v>157</v>
      </c>
      <c r="D213" s="7" t="s">
        <v>158</v>
      </c>
      <c r="E213" s="7" t="s">
        <v>159</v>
      </c>
      <c r="F213" s="7"/>
      <c r="G213" s="7" t="s">
        <v>16</v>
      </c>
      <c r="H213" s="7" t="s">
        <v>183</v>
      </c>
      <c r="I213" s="7" t="s">
        <v>88</v>
      </c>
      <c r="J213" s="7" t="s">
        <v>205</v>
      </c>
      <c r="K213" s="7" t="s">
        <v>205</v>
      </c>
      <c r="L213" s="22" t="n">
        <v>0</v>
      </c>
      <c r="M213" s="7" t="s">
        <v>209</v>
      </c>
      <c r="N213" s="3"/>
      <c r="O213" s="3"/>
      <c r="P213" s="3"/>
    </row>
    <row r="214" customFormat="false" ht="15.75" hidden="false" customHeight="true" outlineLevel="0" collapsed="false">
      <c r="A214" s="7" t="s">
        <v>417</v>
      </c>
      <c r="B214" s="8" t="n">
        <v>46199</v>
      </c>
      <c r="C214" s="7" t="s">
        <v>157</v>
      </c>
      <c r="D214" s="7" t="s">
        <v>158</v>
      </c>
      <c r="E214" s="7" t="s">
        <v>159</v>
      </c>
      <c r="F214" s="7"/>
      <c r="G214" s="7" t="s">
        <v>16</v>
      </c>
      <c r="H214" s="7" t="s">
        <v>183</v>
      </c>
      <c r="I214" s="7" t="s">
        <v>107</v>
      </c>
      <c r="J214" s="7" t="s">
        <v>50</v>
      </c>
      <c r="K214" s="7" t="s">
        <v>50</v>
      </c>
      <c r="L214" s="22" t="n">
        <v>17774</v>
      </c>
      <c r="M214" s="7" t="s">
        <v>209</v>
      </c>
      <c r="N214" s="3"/>
      <c r="O214" s="3"/>
      <c r="P214" s="3"/>
    </row>
    <row r="215" customFormat="false" ht="15.75" hidden="false" customHeight="true" outlineLevel="0" collapsed="false">
      <c r="A215" s="7" t="s">
        <v>418</v>
      </c>
      <c r="B215" s="8" t="n">
        <v>46194</v>
      </c>
      <c r="C215" s="7" t="s">
        <v>161</v>
      </c>
      <c r="D215" s="7" t="s">
        <v>158</v>
      </c>
      <c r="E215" s="7" t="s">
        <v>159</v>
      </c>
      <c r="F215" s="7"/>
      <c r="G215" s="7" t="s">
        <v>16</v>
      </c>
      <c r="H215" s="7" t="s">
        <v>185</v>
      </c>
      <c r="I215" s="7" t="s">
        <v>88</v>
      </c>
      <c r="J215" s="7" t="s">
        <v>205</v>
      </c>
      <c r="K215" s="7" t="s">
        <v>205</v>
      </c>
      <c r="L215" s="22" t="n">
        <v>0</v>
      </c>
      <c r="M215" s="7" t="s">
        <v>206</v>
      </c>
      <c r="N215" s="3"/>
      <c r="O215" s="3"/>
      <c r="P215" s="3"/>
    </row>
    <row r="216" customFormat="false" ht="15.75" hidden="false" customHeight="true" outlineLevel="0" collapsed="false">
      <c r="A216" s="7" t="s">
        <v>419</v>
      </c>
      <c r="B216" s="8" t="n">
        <v>46198</v>
      </c>
      <c r="C216" s="7" t="s">
        <v>163</v>
      </c>
      <c r="D216" s="7" t="s">
        <v>158</v>
      </c>
      <c r="E216" s="7" t="s">
        <v>159</v>
      </c>
      <c r="F216" s="7"/>
      <c r="G216" s="7" t="s">
        <v>16</v>
      </c>
      <c r="H216" s="7" t="s">
        <v>208</v>
      </c>
      <c r="I216" s="7" t="s">
        <v>93</v>
      </c>
      <c r="J216" s="7" t="s">
        <v>50</v>
      </c>
      <c r="K216" s="7" t="s">
        <v>205</v>
      </c>
      <c r="L216" s="22" t="n">
        <v>17477</v>
      </c>
      <c r="M216" s="7" t="s">
        <v>206</v>
      </c>
      <c r="N216" s="3"/>
      <c r="O216" s="3"/>
      <c r="P216" s="3"/>
    </row>
    <row r="217" customFormat="false" ht="15.75" hidden="false" customHeight="true" outlineLevel="0" collapsed="false">
      <c r="A217" s="7" t="s">
        <v>420</v>
      </c>
      <c r="B217" s="8" t="n">
        <v>46188</v>
      </c>
      <c r="C217" s="7" t="s">
        <v>162</v>
      </c>
      <c r="D217" s="7" t="s">
        <v>158</v>
      </c>
      <c r="E217" s="7" t="s">
        <v>159</v>
      </c>
      <c r="F217" s="7"/>
      <c r="G217" s="7" t="s">
        <v>16</v>
      </c>
      <c r="H217" s="7" t="s">
        <v>211</v>
      </c>
      <c r="I217" s="7" t="s">
        <v>88</v>
      </c>
      <c r="J217" s="7" t="s">
        <v>205</v>
      </c>
      <c r="K217" s="7" t="s">
        <v>205</v>
      </c>
      <c r="L217" s="22" t="n">
        <v>0</v>
      </c>
      <c r="M217" s="7" t="s">
        <v>209</v>
      </c>
      <c r="N217" s="3"/>
      <c r="O217" s="3"/>
      <c r="P217" s="3"/>
    </row>
    <row r="218" customFormat="false" ht="15.75" hidden="false" customHeight="true" outlineLevel="0" collapsed="false">
      <c r="A218" s="7" t="s">
        <v>421</v>
      </c>
      <c r="B218" s="8" t="n">
        <v>46189</v>
      </c>
      <c r="C218" s="7" t="s">
        <v>163</v>
      </c>
      <c r="D218" s="7" t="s">
        <v>158</v>
      </c>
      <c r="E218" s="7" t="s">
        <v>159</v>
      </c>
      <c r="F218" s="7"/>
      <c r="G218" s="7" t="s">
        <v>16</v>
      </c>
      <c r="H218" s="7" t="s">
        <v>208</v>
      </c>
      <c r="I218" s="7" t="s">
        <v>88</v>
      </c>
      <c r="J218" s="7" t="s">
        <v>205</v>
      </c>
      <c r="K218" s="7" t="s">
        <v>205</v>
      </c>
      <c r="L218" s="22" t="n">
        <v>0</v>
      </c>
      <c r="M218" s="7" t="s">
        <v>206</v>
      </c>
      <c r="N218" s="3"/>
      <c r="O218" s="3"/>
      <c r="P218" s="3"/>
    </row>
    <row r="219" customFormat="false" ht="15.75" hidden="false" customHeight="true" outlineLevel="0" collapsed="false">
      <c r="A219" s="7" t="s">
        <v>422</v>
      </c>
      <c r="B219" s="8" t="n">
        <v>46190</v>
      </c>
      <c r="C219" s="7" t="s">
        <v>162</v>
      </c>
      <c r="D219" s="7" t="s">
        <v>158</v>
      </c>
      <c r="E219" s="7" t="s">
        <v>159</v>
      </c>
      <c r="F219" s="7"/>
      <c r="G219" s="7" t="s">
        <v>16</v>
      </c>
      <c r="H219" s="7" t="s">
        <v>211</v>
      </c>
      <c r="I219" s="7" t="s">
        <v>88</v>
      </c>
      <c r="J219" s="7" t="s">
        <v>205</v>
      </c>
      <c r="K219" s="7" t="s">
        <v>205</v>
      </c>
      <c r="L219" s="22" t="n">
        <v>0</v>
      </c>
      <c r="M219" s="7" t="s">
        <v>206</v>
      </c>
      <c r="N219" s="3"/>
      <c r="O219" s="3"/>
      <c r="P219" s="3"/>
    </row>
    <row r="220" customFormat="false" ht="15.75" hidden="false" customHeight="true" outlineLevel="0" collapsed="false">
      <c r="A220" s="7" t="s">
        <v>423</v>
      </c>
      <c r="B220" s="8" t="n">
        <v>46193</v>
      </c>
      <c r="C220" s="7" t="s">
        <v>162</v>
      </c>
      <c r="D220" s="7" t="s">
        <v>158</v>
      </c>
      <c r="E220" s="7" t="s">
        <v>159</v>
      </c>
      <c r="F220" s="7"/>
      <c r="G220" s="7" t="s">
        <v>16</v>
      </c>
      <c r="H220" s="7" t="s">
        <v>211</v>
      </c>
      <c r="I220" s="7" t="s">
        <v>107</v>
      </c>
      <c r="J220" s="7" t="s">
        <v>50</v>
      </c>
      <c r="K220" s="7" t="s">
        <v>50</v>
      </c>
      <c r="L220" s="22" t="n">
        <v>19227</v>
      </c>
      <c r="M220" s="7" t="s">
        <v>209</v>
      </c>
      <c r="N220" s="3"/>
      <c r="O220" s="3"/>
      <c r="P220" s="3"/>
    </row>
    <row r="221" customFormat="false" ht="15.75" hidden="false" customHeight="true" outlineLevel="0" collapsed="false">
      <c r="A221" s="7" t="s">
        <v>424</v>
      </c>
      <c r="B221" s="8" t="n">
        <v>46181</v>
      </c>
      <c r="C221" s="7" t="s">
        <v>161</v>
      </c>
      <c r="D221" s="7" t="s">
        <v>158</v>
      </c>
      <c r="E221" s="7" t="s">
        <v>159</v>
      </c>
      <c r="F221" s="7"/>
      <c r="G221" s="7" t="s">
        <v>16</v>
      </c>
      <c r="H221" s="7" t="s">
        <v>185</v>
      </c>
      <c r="I221" s="7" t="s">
        <v>88</v>
      </c>
      <c r="J221" s="7" t="s">
        <v>205</v>
      </c>
      <c r="K221" s="7" t="s">
        <v>205</v>
      </c>
      <c r="L221" s="22" t="n">
        <v>0</v>
      </c>
      <c r="M221" s="7" t="s">
        <v>206</v>
      </c>
      <c r="N221" s="3"/>
      <c r="O221" s="3"/>
      <c r="P221" s="3"/>
    </row>
    <row r="222" customFormat="false" ht="15.75" hidden="false" customHeight="true" outlineLevel="0" collapsed="false">
      <c r="A222" s="7" t="s">
        <v>425</v>
      </c>
      <c r="B222" s="8" t="n">
        <v>46201</v>
      </c>
      <c r="C222" s="7" t="s">
        <v>162</v>
      </c>
      <c r="D222" s="7" t="s">
        <v>158</v>
      </c>
      <c r="E222" s="7" t="s">
        <v>159</v>
      </c>
      <c r="F222" s="7"/>
      <c r="G222" s="7" t="s">
        <v>16</v>
      </c>
      <c r="H222" s="7" t="s">
        <v>211</v>
      </c>
      <c r="I222" s="7" t="s">
        <v>93</v>
      </c>
      <c r="J222" s="7" t="s">
        <v>50</v>
      </c>
      <c r="K222" s="7" t="s">
        <v>205</v>
      </c>
      <c r="L222" s="22" t="n">
        <v>23276</v>
      </c>
      <c r="M222" s="7" t="s">
        <v>206</v>
      </c>
      <c r="N222" s="3"/>
      <c r="O222" s="3"/>
      <c r="P222" s="3"/>
    </row>
    <row r="223" customFormat="false" ht="15.75" hidden="false" customHeight="true" outlineLevel="0" collapsed="false">
      <c r="A223" s="7" t="s">
        <v>426</v>
      </c>
      <c r="B223" s="8" t="n">
        <v>46185</v>
      </c>
      <c r="C223" s="7" t="s">
        <v>163</v>
      </c>
      <c r="D223" s="7" t="s">
        <v>158</v>
      </c>
      <c r="E223" s="7" t="s">
        <v>159</v>
      </c>
      <c r="F223" s="7"/>
      <c r="G223" s="7" t="s">
        <v>16</v>
      </c>
      <c r="H223" s="7" t="s">
        <v>208</v>
      </c>
      <c r="I223" s="7" t="s">
        <v>93</v>
      </c>
      <c r="J223" s="7" t="s">
        <v>50</v>
      </c>
      <c r="K223" s="7" t="s">
        <v>205</v>
      </c>
      <c r="L223" s="22" t="n">
        <v>11881</v>
      </c>
      <c r="M223" s="7" t="s">
        <v>209</v>
      </c>
      <c r="N223" s="3"/>
      <c r="O223" s="3"/>
      <c r="P223" s="3"/>
    </row>
    <row r="224" customFormat="false" ht="15.75" hidden="false" customHeight="true" outlineLevel="0" collapsed="false">
      <c r="A224" s="7" t="s">
        <v>427</v>
      </c>
      <c r="B224" s="8" t="n">
        <v>46174</v>
      </c>
      <c r="C224" s="7" t="s">
        <v>163</v>
      </c>
      <c r="D224" s="7" t="s">
        <v>158</v>
      </c>
      <c r="E224" s="7" t="s">
        <v>159</v>
      </c>
      <c r="F224" s="7"/>
      <c r="G224" s="7" t="s">
        <v>16</v>
      </c>
      <c r="H224" s="7" t="s">
        <v>208</v>
      </c>
      <c r="I224" s="7" t="s">
        <v>88</v>
      </c>
      <c r="J224" s="7" t="s">
        <v>205</v>
      </c>
      <c r="K224" s="7" t="s">
        <v>205</v>
      </c>
      <c r="L224" s="22" t="n">
        <v>0</v>
      </c>
      <c r="M224" s="7" t="s">
        <v>209</v>
      </c>
      <c r="N224" s="3"/>
      <c r="O224" s="3"/>
      <c r="P224" s="3"/>
    </row>
    <row r="225" customFormat="false" ht="15.75" hidden="false" customHeight="true" outlineLevel="0" collapsed="false">
      <c r="A225" s="7" t="s">
        <v>428</v>
      </c>
      <c r="B225" s="8" t="n">
        <v>46200</v>
      </c>
      <c r="C225" s="7" t="s">
        <v>161</v>
      </c>
      <c r="D225" s="7" t="s">
        <v>158</v>
      </c>
      <c r="E225" s="7" t="s">
        <v>159</v>
      </c>
      <c r="F225" s="7"/>
      <c r="G225" s="7" t="s">
        <v>16</v>
      </c>
      <c r="H225" s="7" t="s">
        <v>185</v>
      </c>
      <c r="I225" s="7" t="s">
        <v>93</v>
      </c>
      <c r="J225" s="7" t="s">
        <v>50</v>
      </c>
      <c r="K225" s="7" t="s">
        <v>205</v>
      </c>
      <c r="L225" s="22" t="n">
        <v>17377</v>
      </c>
      <c r="M225" s="7" t="s">
        <v>209</v>
      </c>
      <c r="N225" s="3"/>
      <c r="O225" s="3"/>
      <c r="P225" s="3"/>
    </row>
    <row r="226" customFormat="false" ht="15.75" hidden="false" customHeight="true" outlineLevel="0" collapsed="false">
      <c r="A226" s="7" t="s">
        <v>429</v>
      </c>
      <c r="B226" s="8" t="n">
        <v>46197</v>
      </c>
      <c r="C226" s="7" t="s">
        <v>161</v>
      </c>
      <c r="D226" s="7" t="s">
        <v>158</v>
      </c>
      <c r="E226" s="7" t="s">
        <v>159</v>
      </c>
      <c r="F226" s="7"/>
      <c r="G226" s="7" t="s">
        <v>16</v>
      </c>
      <c r="H226" s="7" t="s">
        <v>185</v>
      </c>
      <c r="I226" s="7" t="s">
        <v>93</v>
      </c>
      <c r="J226" s="7" t="s">
        <v>50</v>
      </c>
      <c r="K226" s="7" t="s">
        <v>205</v>
      </c>
      <c r="L226" s="22" t="n">
        <v>21169</v>
      </c>
      <c r="M226" s="7" t="s">
        <v>206</v>
      </c>
      <c r="N226" s="3"/>
      <c r="O226" s="3"/>
      <c r="P226" s="3"/>
    </row>
    <row r="227" customFormat="false" ht="15.75" hidden="false" customHeight="true" outlineLevel="0" collapsed="false">
      <c r="A227" s="7" t="s">
        <v>430</v>
      </c>
      <c r="B227" s="8" t="n">
        <v>46176</v>
      </c>
      <c r="C227" s="7" t="s">
        <v>157</v>
      </c>
      <c r="D227" s="7" t="s">
        <v>158</v>
      </c>
      <c r="E227" s="7" t="s">
        <v>159</v>
      </c>
      <c r="F227" s="7"/>
      <c r="G227" s="7" t="s">
        <v>16</v>
      </c>
      <c r="H227" s="7" t="s">
        <v>183</v>
      </c>
      <c r="I227" s="7" t="s">
        <v>93</v>
      </c>
      <c r="J227" s="7" t="s">
        <v>50</v>
      </c>
      <c r="K227" s="7" t="s">
        <v>205</v>
      </c>
      <c r="L227" s="22" t="n">
        <v>20403</v>
      </c>
      <c r="M227" s="7" t="s">
        <v>206</v>
      </c>
      <c r="N227" s="3"/>
      <c r="O227" s="3"/>
      <c r="P227" s="3"/>
    </row>
    <row r="228" customFormat="false" ht="15.75" hidden="false" customHeight="true" outlineLevel="0" collapsed="false">
      <c r="A228" s="7" t="s">
        <v>431</v>
      </c>
      <c r="B228" s="8" t="n">
        <v>46184</v>
      </c>
      <c r="C228" s="7" t="s">
        <v>162</v>
      </c>
      <c r="D228" s="7" t="s">
        <v>158</v>
      </c>
      <c r="E228" s="7" t="s">
        <v>159</v>
      </c>
      <c r="F228" s="7"/>
      <c r="G228" s="7" t="s">
        <v>16</v>
      </c>
      <c r="H228" s="7" t="s">
        <v>211</v>
      </c>
      <c r="I228" s="7" t="s">
        <v>93</v>
      </c>
      <c r="J228" s="7" t="s">
        <v>50</v>
      </c>
      <c r="K228" s="7" t="s">
        <v>205</v>
      </c>
      <c r="L228" s="22" t="n">
        <v>21112</v>
      </c>
      <c r="M228" s="7" t="s">
        <v>206</v>
      </c>
      <c r="N228" s="3"/>
      <c r="O228" s="3"/>
      <c r="P228" s="3"/>
    </row>
    <row r="229" customFormat="false" ht="15.75" hidden="false" customHeight="true" outlineLevel="0" collapsed="false">
      <c r="A229" s="7" t="s">
        <v>432</v>
      </c>
      <c r="B229" s="8" t="n">
        <v>46183</v>
      </c>
      <c r="C229" s="7" t="s">
        <v>162</v>
      </c>
      <c r="D229" s="7" t="s">
        <v>158</v>
      </c>
      <c r="E229" s="7" t="s">
        <v>159</v>
      </c>
      <c r="F229" s="7"/>
      <c r="G229" s="7" t="s">
        <v>16</v>
      </c>
      <c r="H229" s="7" t="s">
        <v>211</v>
      </c>
      <c r="I229" s="7" t="s">
        <v>93</v>
      </c>
      <c r="J229" s="7" t="s">
        <v>50</v>
      </c>
      <c r="K229" s="7" t="s">
        <v>205</v>
      </c>
      <c r="L229" s="22" t="n">
        <v>14780</v>
      </c>
      <c r="M229" s="7" t="s">
        <v>206</v>
      </c>
      <c r="N229" s="3"/>
      <c r="O229" s="3"/>
      <c r="P229" s="3"/>
    </row>
    <row r="230" customFormat="false" ht="15.75" hidden="false" customHeight="true" outlineLevel="0" collapsed="false">
      <c r="A230" s="7" t="s">
        <v>433</v>
      </c>
      <c r="B230" s="8" t="n">
        <v>46196</v>
      </c>
      <c r="C230" s="7" t="s">
        <v>163</v>
      </c>
      <c r="D230" s="7" t="s">
        <v>158</v>
      </c>
      <c r="E230" s="7" t="s">
        <v>159</v>
      </c>
      <c r="F230" s="7"/>
      <c r="G230" s="7" t="s">
        <v>16</v>
      </c>
      <c r="H230" s="7" t="s">
        <v>208</v>
      </c>
      <c r="I230" s="7" t="s">
        <v>88</v>
      </c>
      <c r="J230" s="7" t="s">
        <v>205</v>
      </c>
      <c r="K230" s="7" t="s">
        <v>205</v>
      </c>
      <c r="L230" s="22" t="n">
        <v>0</v>
      </c>
      <c r="M230" s="7" t="s">
        <v>209</v>
      </c>
      <c r="N230" s="3"/>
      <c r="O230" s="3"/>
      <c r="P230" s="3"/>
    </row>
    <row r="231" customFormat="false" ht="15.75" hidden="false" customHeight="true" outlineLevel="0" collapsed="false">
      <c r="A231" s="7" t="s">
        <v>434</v>
      </c>
      <c r="B231" s="8" t="n">
        <v>46203</v>
      </c>
      <c r="C231" s="7" t="s">
        <v>163</v>
      </c>
      <c r="D231" s="7" t="s">
        <v>158</v>
      </c>
      <c r="E231" s="7" t="s">
        <v>159</v>
      </c>
      <c r="F231" s="7"/>
      <c r="G231" s="7" t="s">
        <v>16</v>
      </c>
      <c r="H231" s="7" t="s">
        <v>208</v>
      </c>
      <c r="I231" s="7" t="s">
        <v>93</v>
      </c>
      <c r="J231" s="7" t="s">
        <v>50</v>
      </c>
      <c r="K231" s="7" t="s">
        <v>205</v>
      </c>
      <c r="L231" s="22" t="n">
        <v>10264</v>
      </c>
      <c r="M231" s="7" t="s">
        <v>206</v>
      </c>
      <c r="N231" s="3"/>
      <c r="O231" s="3"/>
      <c r="P231" s="3"/>
    </row>
    <row r="232" customFormat="false" ht="15.75" hidden="false" customHeight="true" outlineLevel="0" collapsed="false">
      <c r="A232" s="7" t="s">
        <v>435</v>
      </c>
      <c r="B232" s="8" t="n">
        <v>46185</v>
      </c>
      <c r="C232" s="7" t="s">
        <v>162</v>
      </c>
      <c r="D232" s="7" t="s">
        <v>158</v>
      </c>
      <c r="E232" s="7" t="s">
        <v>159</v>
      </c>
      <c r="F232" s="7"/>
      <c r="G232" s="7" t="s">
        <v>16</v>
      </c>
      <c r="H232" s="7" t="s">
        <v>211</v>
      </c>
      <c r="I232" s="7" t="s">
        <v>93</v>
      </c>
      <c r="J232" s="7" t="s">
        <v>50</v>
      </c>
      <c r="K232" s="7" t="s">
        <v>205</v>
      </c>
      <c r="L232" s="22" t="n">
        <v>24002</v>
      </c>
      <c r="M232" s="7" t="s">
        <v>206</v>
      </c>
      <c r="N232" s="3"/>
      <c r="O232" s="3"/>
      <c r="P232" s="3"/>
    </row>
    <row r="233" customFormat="false" ht="15.75" hidden="false" customHeight="true" outlineLevel="0" collapsed="false">
      <c r="A233" s="7" t="s">
        <v>436</v>
      </c>
      <c r="B233" s="8" t="n">
        <v>46199</v>
      </c>
      <c r="C233" s="7" t="s">
        <v>163</v>
      </c>
      <c r="D233" s="7" t="s">
        <v>158</v>
      </c>
      <c r="E233" s="7" t="s">
        <v>159</v>
      </c>
      <c r="F233" s="7"/>
      <c r="G233" s="7" t="s">
        <v>16</v>
      </c>
      <c r="H233" s="7" t="s">
        <v>208</v>
      </c>
      <c r="I233" s="7" t="s">
        <v>93</v>
      </c>
      <c r="J233" s="7" t="s">
        <v>50</v>
      </c>
      <c r="K233" s="7" t="s">
        <v>205</v>
      </c>
      <c r="L233" s="22" t="n">
        <v>9715</v>
      </c>
      <c r="M233" s="7" t="s">
        <v>206</v>
      </c>
      <c r="N233" s="3"/>
      <c r="O233" s="3"/>
      <c r="P233" s="3"/>
    </row>
    <row r="234" customFormat="false" ht="15.75" hidden="false" customHeight="true" outlineLevel="0" collapsed="false">
      <c r="A234" s="7" t="s">
        <v>437</v>
      </c>
      <c r="B234" s="8" t="n">
        <v>46178</v>
      </c>
      <c r="C234" s="7" t="s">
        <v>162</v>
      </c>
      <c r="D234" s="7" t="s">
        <v>158</v>
      </c>
      <c r="E234" s="7" t="s">
        <v>159</v>
      </c>
      <c r="F234" s="7"/>
      <c r="G234" s="7" t="s">
        <v>16</v>
      </c>
      <c r="H234" s="7" t="s">
        <v>211</v>
      </c>
      <c r="I234" s="7" t="s">
        <v>93</v>
      </c>
      <c r="J234" s="7" t="s">
        <v>50</v>
      </c>
      <c r="K234" s="7" t="s">
        <v>205</v>
      </c>
      <c r="L234" s="22" t="n">
        <v>21547</v>
      </c>
      <c r="M234" s="7" t="s">
        <v>209</v>
      </c>
      <c r="N234" s="3"/>
      <c r="O234" s="3"/>
      <c r="P234" s="3"/>
    </row>
    <row r="235" customFormat="false" ht="15.75" hidden="false" customHeight="true" outlineLevel="0" collapsed="false">
      <c r="A235" s="7" t="s">
        <v>438</v>
      </c>
      <c r="B235" s="8" t="n">
        <v>46181</v>
      </c>
      <c r="C235" s="7" t="s">
        <v>162</v>
      </c>
      <c r="D235" s="7" t="s">
        <v>158</v>
      </c>
      <c r="E235" s="7" t="s">
        <v>159</v>
      </c>
      <c r="F235" s="7"/>
      <c r="G235" s="7" t="s">
        <v>16</v>
      </c>
      <c r="H235" s="7" t="s">
        <v>211</v>
      </c>
      <c r="I235" s="7" t="s">
        <v>93</v>
      </c>
      <c r="J235" s="7" t="s">
        <v>50</v>
      </c>
      <c r="K235" s="7" t="s">
        <v>205</v>
      </c>
      <c r="L235" s="22" t="n">
        <v>18896</v>
      </c>
      <c r="M235" s="7" t="s">
        <v>209</v>
      </c>
      <c r="N235" s="3"/>
      <c r="O235" s="3"/>
      <c r="P235" s="3"/>
    </row>
    <row r="236" customFormat="false" ht="15.75" hidden="false" customHeight="true" outlineLevel="0" collapsed="false">
      <c r="A236" s="7" t="s">
        <v>439</v>
      </c>
      <c r="B236" s="8" t="n">
        <v>46184</v>
      </c>
      <c r="C236" s="7" t="s">
        <v>161</v>
      </c>
      <c r="D236" s="7" t="s">
        <v>158</v>
      </c>
      <c r="E236" s="7" t="s">
        <v>159</v>
      </c>
      <c r="F236" s="7"/>
      <c r="G236" s="7" t="s">
        <v>16</v>
      </c>
      <c r="H236" s="7" t="s">
        <v>185</v>
      </c>
      <c r="I236" s="7" t="s">
        <v>93</v>
      </c>
      <c r="J236" s="7" t="s">
        <v>50</v>
      </c>
      <c r="K236" s="7" t="s">
        <v>205</v>
      </c>
      <c r="L236" s="22" t="n">
        <v>10612</v>
      </c>
      <c r="M236" s="7" t="s">
        <v>209</v>
      </c>
      <c r="N236" s="3"/>
      <c r="O236" s="3"/>
      <c r="P236" s="3"/>
    </row>
    <row r="237" customFormat="false" ht="15.75" hidden="false" customHeight="true" outlineLevel="0" collapsed="false">
      <c r="A237" s="7" t="s">
        <v>440</v>
      </c>
      <c r="B237" s="8" t="n">
        <v>46194</v>
      </c>
      <c r="C237" s="7" t="s">
        <v>163</v>
      </c>
      <c r="D237" s="7" t="s">
        <v>158</v>
      </c>
      <c r="E237" s="7" t="s">
        <v>159</v>
      </c>
      <c r="F237" s="7"/>
      <c r="G237" s="7" t="s">
        <v>16</v>
      </c>
      <c r="H237" s="7" t="s">
        <v>208</v>
      </c>
      <c r="I237" s="7" t="s">
        <v>88</v>
      </c>
      <c r="J237" s="7" t="s">
        <v>205</v>
      </c>
      <c r="K237" s="7" t="s">
        <v>205</v>
      </c>
      <c r="L237" s="22" t="n">
        <v>0</v>
      </c>
      <c r="M237" s="7" t="s">
        <v>206</v>
      </c>
      <c r="N237" s="3"/>
      <c r="O237" s="3"/>
      <c r="P237" s="3"/>
    </row>
    <row r="238" customFormat="false" ht="15.75" hidden="false" customHeight="true" outlineLevel="0" collapsed="false">
      <c r="A238" s="7" t="s">
        <v>441</v>
      </c>
      <c r="B238" s="8" t="n">
        <v>46193</v>
      </c>
      <c r="C238" s="7" t="s">
        <v>157</v>
      </c>
      <c r="D238" s="7" t="s">
        <v>158</v>
      </c>
      <c r="E238" s="7" t="s">
        <v>159</v>
      </c>
      <c r="F238" s="7"/>
      <c r="G238" s="7" t="s">
        <v>16</v>
      </c>
      <c r="H238" s="7" t="s">
        <v>183</v>
      </c>
      <c r="I238" s="7" t="s">
        <v>93</v>
      </c>
      <c r="J238" s="7" t="s">
        <v>50</v>
      </c>
      <c r="K238" s="7" t="s">
        <v>205</v>
      </c>
      <c r="L238" s="22" t="n">
        <v>15639</v>
      </c>
      <c r="M238" s="7" t="s">
        <v>206</v>
      </c>
      <c r="N238" s="3"/>
      <c r="O238" s="3"/>
      <c r="P238" s="3"/>
    </row>
    <row r="239" customFormat="false" ht="15.75" hidden="false" customHeight="true" outlineLevel="0" collapsed="false">
      <c r="A239" s="7" t="s">
        <v>442</v>
      </c>
      <c r="B239" s="8" t="n">
        <v>46187</v>
      </c>
      <c r="C239" s="7" t="s">
        <v>162</v>
      </c>
      <c r="D239" s="7" t="s">
        <v>158</v>
      </c>
      <c r="E239" s="7" t="s">
        <v>159</v>
      </c>
      <c r="F239" s="7"/>
      <c r="G239" s="7" t="s">
        <v>16</v>
      </c>
      <c r="H239" s="7" t="s">
        <v>211</v>
      </c>
      <c r="I239" s="7" t="s">
        <v>93</v>
      </c>
      <c r="J239" s="7" t="s">
        <v>50</v>
      </c>
      <c r="K239" s="7" t="s">
        <v>205</v>
      </c>
      <c r="L239" s="22" t="n">
        <v>13226</v>
      </c>
      <c r="M239" s="7" t="s">
        <v>206</v>
      </c>
      <c r="N239" s="3"/>
      <c r="O239" s="3"/>
      <c r="P239" s="3"/>
    </row>
    <row r="240" customFormat="false" ht="15.75" hidden="false" customHeight="true" outlineLevel="0" collapsed="false">
      <c r="A240" s="7" t="s">
        <v>443</v>
      </c>
      <c r="B240" s="8" t="n">
        <v>46203</v>
      </c>
      <c r="C240" s="7" t="s">
        <v>163</v>
      </c>
      <c r="D240" s="7" t="s">
        <v>158</v>
      </c>
      <c r="E240" s="7" t="s">
        <v>159</v>
      </c>
      <c r="F240" s="7"/>
      <c r="G240" s="7" t="s">
        <v>16</v>
      </c>
      <c r="H240" s="7" t="s">
        <v>208</v>
      </c>
      <c r="I240" s="7" t="s">
        <v>107</v>
      </c>
      <c r="J240" s="7" t="s">
        <v>50</v>
      </c>
      <c r="K240" s="7" t="s">
        <v>50</v>
      </c>
      <c r="L240" s="22" t="n">
        <v>24075</v>
      </c>
      <c r="M240" s="7" t="s">
        <v>206</v>
      </c>
      <c r="N240" s="3"/>
      <c r="O240" s="3"/>
      <c r="P240" s="3"/>
    </row>
    <row r="241" customFormat="false" ht="15.75" hidden="false" customHeight="true" outlineLevel="0" collapsed="false">
      <c r="A241" s="7" t="s">
        <v>444</v>
      </c>
      <c r="B241" s="8" t="n">
        <v>46183</v>
      </c>
      <c r="C241" s="7" t="s">
        <v>163</v>
      </c>
      <c r="D241" s="7" t="s">
        <v>158</v>
      </c>
      <c r="E241" s="7" t="s">
        <v>159</v>
      </c>
      <c r="F241" s="7"/>
      <c r="G241" s="7" t="s">
        <v>16</v>
      </c>
      <c r="H241" s="7" t="s">
        <v>208</v>
      </c>
      <c r="I241" s="7" t="s">
        <v>88</v>
      </c>
      <c r="J241" s="7" t="s">
        <v>205</v>
      </c>
      <c r="K241" s="7" t="s">
        <v>205</v>
      </c>
      <c r="L241" s="22" t="n">
        <v>0</v>
      </c>
      <c r="M241" s="7" t="s">
        <v>209</v>
      </c>
      <c r="N241" s="3"/>
      <c r="O241" s="3"/>
      <c r="P241" s="3"/>
    </row>
    <row r="242" customFormat="false" ht="15.75" hidden="false" customHeight="true" outlineLevel="0" collapsed="false">
      <c r="A242" s="7" t="s">
        <v>445</v>
      </c>
      <c r="B242" s="8" t="n">
        <v>46185</v>
      </c>
      <c r="C242" s="7" t="s">
        <v>162</v>
      </c>
      <c r="D242" s="7" t="s">
        <v>158</v>
      </c>
      <c r="E242" s="7" t="s">
        <v>159</v>
      </c>
      <c r="F242" s="7"/>
      <c r="G242" s="7" t="s">
        <v>16</v>
      </c>
      <c r="H242" s="7" t="s">
        <v>211</v>
      </c>
      <c r="I242" s="7" t="s">
        <v>93</v>
      </c>
      <c r="J242" s="7" t="s">
        <v>50</v>
      </c>
      <c r="K242" s="7" t="s">
        <v>205</v>
      </c>
      <c r="L242" s="22" t="n">
        <v>20762</v>
      </c>
      <c r="M242" s="7" t="s">
        <v>206</v>
      </c>
      <c r="N242" s="3"/>
      <c r="O242" s="3"/>
      <c r="P242" s="3"/>
    </row>
    <row r="243" customFormat="false" ht="15.75" hidden="false" customHeight="true" outlineLevel="0" collapsed="false">
      <c r="A243" s="7" t="s">
        <v>446</v>
      </c>
      <c r="B243" s="8" t="n">
        <v>46200</v>
      </c>
      <c r="C243" s="7" t="s">
        <v>157</v>
      </c>
      <c r="D243" s="7" t="s">
        <v>158</v>
      </c>
      <c r="E243" s="7" t="s">
        <v>159</v>
      </c>
      <c r="F243" s="7"/>
      <c r="G243" s="7" t="s">
        <v>16</v>
      </c>
      <c r="H243" s="7" t="s">
        <v>183</v>
      </c>
      <c r="I243" s="7" t="s">
        <v>93</v>
      </c>
      <c r="J243" s="7" t="s">
        <v>50</v>
      </c>
      <c r="K243" s="7" t="s">
        <v>205</v>
      </c>
      <c r="L243" s="22" t="n">
        <v>13068</v>
      </c>
      <c r="M243" s="7" t="s">
        <v>206</v>
      </c>
      <c r="N243" s="3"/>
      <c r="O243" s="3"/>
      <c r="P243" s="3"/>
    </row>
    <row r="244" customFormat="false" ht="15.75" hidden="false" customHeight="true" outlineLevel="0" collapsed="false">
      <c r="A244" s="7" t="s">
        <v>447</v>
      </c>
      <c r="B244" s="8" t="n">
        <v>46188</v>
      </c>
      <c r="C244" s="7" t="s">
        <v>162</v>
      </c>
      <c r="D244" s="7" t="s">
        <v>158</v>
      </c>
      <c r="E244" s="7" t="s">
        <v>159</v>
      </c>
      <c r="F244" s="7"/>
      <c r="G244" s="7" t="s">
        <v>16</v>
      </c>
      <c r="H244" s="7" t="s">
        <v>211</v>
      </c>
      <c r="I244" s="7" t="s">
        <v>88</v>
      </c>
      <c r="J244" s="7" t="s">
        <v>205</v>
      </c>
      <c r="K244" s="7" t="s">
        <v>205</v>
      </c>
      <c r="L244" s="22" t="n">
        <v>0</v>
      </c>
      <c r="M244" s="7" t="s">
        <v>206</v>
      </c>
      <c r="N244" s="3"/>
      <c r="O244" s="3"/>
      <c r="P244" s="3"/>
    </row>
    <row r="245" customFormat="false" ht="15.75" hidden="false" customHeight="true" outlineLevel="0" collapsed="false">
      <c r="A245" s="7" t="s">
        <v>448</v>
      </c>
      <c r="B245" s="8" t="n">
        <v>46197</v>
      </c>
      <c r="C245" s="7" t="s">
        <v>162</v>
      </c>
      <c r="D245" s="7" t="s">
        <v>158</v>
      </c>
      <c r="E245" s="7" t="s">
        <v>159</v>
      </c>
      <c r="F245" s="7"/>
      <c r="G245" s="7" t="s">
        <v>16</v>
      </c>
      <c r="H245" s="7" t="s">
        <v>211</v>
      </c>
      <c r="I245" s="7" t="s">
        <v>93</v>
      </c>
      <c r="J245" s="7" t="s">
        <v>50</v>
      </c>
      <c r="K245" s="7" t="s">
        <v>205</v>
      </c>
      <c r="L245" s="22" t="n">
        <v>13630</v>
      </c>
      <c r="M245" s="7" t="s">
        <v>209</v>
      </c>
      <c r="N245" s="3"/>
      <c r="O245" s="3"/>
      <c r="P245" s="3"/>
    </row>
    <row r="246" customFormat="false" ht="15.75" hidden="false" customHeight="true" outlineLevel="0" collapsed="false">
      <c r="A246" s="7" t="s">
        <v>449</v>
      </c>
      <c r="B246" s="8" t="n">
        <v>46188</v>
      </c>
      <c r="C246" s="7" t="s">
        <v>157</v>
      </c>
      <c r="D246" s="7" t="s">
        <v>158</v>
      </c>
      <c r="E246" s="7" t="s">
        <v>159</v>
      </c>
      <c r="F246" s="7"/>
      <c r="G246" s="7" t="s">
        <v>16</v>
      </c>
      <c r="H246" s="7" t="s">
        <v>183</v>
      </c>
      <c r="I246" s="7" t="s">
        <v>93</v>
      </c>
      <c r="J246" s="7" t="s">
        <v>50</v>
      </c>
      <c r="K246" s="7" t="s">
        <v>205</v>
      </c>
      <c r="L246" s="22" t="n">
        <v>20794</v>
      </c>
      <c r="M246" s="7" t="s">
        <v>209</v>
      </c>
      <c r="N246" s="3"/>
      <c r="O246" s="3"/>
      <c r="P246" s="3"/>
    </row>
    <row r="247" customFormat="false" ht="15.75" hidden="false" customHeight="true" outlineLevel="0" collapsed="false">
      <c r="A247" s="7" t="s">
        <v>450</v>
      </c>
      <c r="B247" s="8" t="n">
        <v>46184</v>
      </c>
      <c r="C247" s="7" t="s">
        <v>162</v>
      </c>
      <c r="D247" s="7" t="s">
        <v>158</v>
      </c>
      <c r="E247" s="7" t="s">
        <v>159</v>
      </c>
      <c r="F247" s="7"/>
      <c r="G247" s="7" t="s">
        <v>16</v>
      </c>
      <c r="H247" s="7" t="s">
        <v>211</v>
      </c>
      <c r="I247" s="7" t="s">
        <v>93</v>
      </c>
      <c r="J247" s="7" t="s">
        <v>50</v>
      </c>
      <c r="K247" s="7" t="s">
        <v>205</v>
      </c>
      <c r="L247" s="22" t="n">
        <v>17517</v>
      </c>
      <c r="M247" s="7" t="s">
        <v>209</v>
      </c>
      <c r="N247" s="3"/>
      <c r="O247" s="3"/>
      <c r="P247" s="3"/>
    </row>
    <row r="248" customFormat="false" ht="15.75" hidden="false" customHeight="true" outlineLevel="0" collapsed="false">
      <c r="A248" s="7" t="s">
        <v>451</v>
      </c>
      <c r="B248" s="8" t="n">
        <v>46186</v>
      </c>
      <c r="C248" s="7" t="s">
        <v>163</v>
      </c>
      <c r="D248" s="7" t="s">
        <v>158</v>
      </c>
      <c r="E248" s="7" t="s">
        <v>159</v>
      </c>
      <c r="F248" s="7"/>
      <c r="G248" s="7" t="s">
        <v>16</v>
      </c>
      <c r="H248" s="7" t="s">
        <v>208</v>
      </c>
      <c r="I248" s="7" t="s">
        <v>107</v>
      </c>
      <c r="J248" s="7" t="s">
        <v>50</v>
      </c>
      <c r="K248" s="7" t="s">
        <v>50</v>
      </c>
      <c r="L248" s="22" t="n">
        <v>9204</v>
      </c>
      <c r="M248" s="7" t="s">
        <v>209</v>
      </c>
      <c r="N248" s="3"/>
      <c r="O248" s="3"/>
      <c r="P248" s="3"/>
    </row>
    <row r="249" customFormat="false" ht="15.75" hidden="false" customHeight="true" outlineLevel="0" collapsed="false">
      <c r="A249" s="7" t="s">
        <v>452</v>
      </c>
      <c r="B249" s="8" t="n">
        <v>46199</v>
      </c>
      <c r="C249" s="7" t="s">
        <v>162</v>
      </c>
      <c r="D249" s="7" t="s">
        <v>158</v>
      </c>
      <c r="E249" s="7" t="s">
        <v>159</v>
      </c>
      <c r="F249" s="7"/>
      <c r="G249" s="7" t="s">
        <v>16</v>
      </c>
      <c r="H249" s="7" t="s">
        <v>211</v>
      </c>
      <c r="I249" s="7" t="s">
        <v>93</v>
      </c>
      <c r="J249" s="7" t="s">
        <v>50</v>
      </c>
      <c r="K249" s="7" t="s">
        <v>205</v>
      </c>
      <c r="L249" s="22" t="n">
        <v>11430</v>
      </c>
      <c r="M249" s="7" t="s">
        <v>209</v>
      </c>
      <c r="N249" s="3"/>
      <c r="O249" s="3"/>
      <c r="P249" s="3"/>
    </row>
    <row r="250" customFormat="false" ht="15.75" hidden="false" customHeight="true" outlineLevel="0" collapsed="false">
      <c r="A250" s="7" t="s">
        <v>453</v>
      </c>
      <c r="B250" s="8" t="n">
        <v>46199</v>
      </c>
      <c r="C250" s="7" t="s">
        <v>163</v>
      </c>
      <c r="D250" s="7" t="s">
        <v>158</v>
      </c>
      <c r="E250" s="7" t="s">
        <v>159</v>
      </c>
      <c r="F250" s="7"/>
      <c r="G250" s="7" t="s">
        <v>16</v>
      </c>
      <c r="H250" s="7" t="s">
        <v>208</v>
      </c>
      <c r="I250" s="7" t="s">
        <v>93</v>
      </c>
      <c r="J250" s="7" t="s">
        <v>50</v>
      </c>
      <c r="K250" s="7" t="s">
        <v>205</v>
      </c>
      <c r="L250" s="22" t="n">
        <v>22726</v>
      </c>
      <c r="M250" s="7" t="s">
        <v>206</v>
      </c>
      <c r="N250" s="3"/>
      <c r="O250" s="3"/>
      <c r="P250" s="3"/>
    </row>
    <row r="251" customFormat="false" ht="15.75" hidden="false" customHeight="true" outlineLevel="0" collapsed="false">
      <c r="A251" s="7" t="s">
        <v>454</v>
      </c>
      <c r="B251" s="8" t="n">
        <v>46200</v>
      </c>
      <c r="C251" s="7" t="s">
        <v>163</v>
      </c>
      <c r="D251" s="7" t="s">
        <v>158</v>
      </c>
      <c r="E251" s="7" t="s">
        <v>159</v>
      </c>
      <c r="F251" s="7"/>
      <c r="G251" s="7" t="s">
        <v>16</v>
      </c>
      <c r="H251" s="7" t="s">
        <v>208</v>
      </c>
      <c r="I251" s="7" t="s">
        <v>93</v>
      </c>
      <c r="J251" s="7" t="s">
        <v>50</v>
      </c>
      <c r="K251" s="7" t="s">
        <v>205</v>
      </c>
      <c r="L251" s="22" t="n">
        <v>9804</v>
      </c>
      <c r="M251" s="7" t="s">
        <v>206</v>
      </c>
      <c r="N251" s="3"/>
      <c r="O251" s="3"/>
      <c r="P251" s="3"/>
    </row>
    <row r="252" customFormat="false" ht="15.75" hidden="false" customHeight="true" outlineLevel="0" collapsed="false">
      <c r="A252" s="7" t="s">
        <v>455</v>
      </c>
      <c r="B252" s="8" t="n">
        <v>46197</v>
      </c>
      <c r="C252" s="7" t="s">
        <v>161</v>
      </c>
      <c r="D252" s="7" t="s">
        <v>158</v>
      </c>
      <c r="E252" s="7" t="s">
        <v>159</v>
      </c>
      <c r="F252" s="7"/>
      <c r="G252" s="7" t="s">
        <v>16</v>
      </c>
      <c r="H252" s="7" t="s">
        <v>185</v>
      </c>
      <c r="I252" s="7" t="s">
        <v>88</v>
      </c>
      <c r="J252" s="7" t="s">
        <v>205</v>
      </c>
      <c r="K252" s="7" t="s">
        <v>205</v>
      </c>
      <c r="L252" s="22" t="n">
        <v>0</v>
      </c>
      <c r="M252" s="7" t="s">
        <v>209</v>
      </c>
      <c r="N252" s="3"/>
      <c r="O252" s="3"/>
      <c r="P252" s="3"/>
    </row>
    <row r="253" customFormat="false" ht="15.75" hidden="false" customHeight="true" outlineLevel="0" collapsed="false">
      <c r="A253" s="7" t="s">
        <v>456</v>
      </c>
      <c r="B253" s="8" t="n">
        <v>46197</v>
      </c>
      <c r="C253" s="7" t="s">
        <v>163</v>
      </c>
      <c r="D253" s="7" t="s">
        <v>158</v>
      </c>
      <c r="E253" s="7" t="s">
        <v>159</v>
      </c>
      <c r="F253" s="7"/>
      <c r="G253" s="7" t="s">
        <v>16</v>
      </c>
      <c r="H253" s="7" t="s">
        <v>208</v>
      </c>
      <c r="I253" s="7" t="s">
        <v>93</v>
      </c>
      <c r="J253" s="7" t="s">
        <v>50</v>
      </c>
      <c r="K253" s="7" t="s">
        <v>205</v>
      </c>
      <c r="L253" s="22" t="n">
        <v>22751</v>
      </c>
      <c r="M253" s="7" t="s">
        <v>206</v>
      </c>
      <c r="N253" s="3"/>
      <c r="O253" s="3"/>
      <c r="P253" s="3"/>
    </row>
    <row r="254" customFormat="false" ht="15.75" hidden="false" customHeight="true" outlineLevel="0" collapsed="false">
      <c r="A254" s="7" t="s">
        <v>457</v>
      </c>
      <c r="B254" s="8" t="n">
        <v>45831</v>
      </c>
      <c r="C254" s="7" t="s">
        <v>163</v>
      </c>
      <c r="D254" s="7" t="s">
        <v>158</v>
      </c>
      <c r="E254" s="7" t="s">
        <v>159</v>
      </c>
      <c r="F254" s="7"/>
      <c r="G254" s="7" t="s">
        <v>16</v>
      </c>
      <c r="H254" s="7" t="s">
        <v>208</v>
      </c>
      <c r="I254" s="7" t="s">
        <v>93</v>
      </c>
      <c r="J254" s="7" t="s">
        <v>50</v>
      </c>
      <c r="K254" s="7" t="s">
        <v>205</v>
      </c>
      <c r="L254" s="22" t="n">
        <v>12913</v>
      </c>
      <c r="M254" s="7" t="s">
        <v>206</v>
      </c>
      <c r="N254" s="3"/>
      <c r="O254" s="3"/>
      <c r="P254" s="3"/>
    </row>
    <row r="255" customFormat="false" ht="15.75" hidden="false" customHeight="true" outlineLevel="0" collapsed="false">
      <c r="A255" s="7" t="s">
        <v>458</v>
      </c>
      <c r="B255" s="8" t="n">
        <v>45825</v>
      </c>
      <c r="C255" s="7" t="s">
        <v>163</v>
      </c>
      <c r="D255" s="7" t="s">
        <v>158</v>
      </c>
      <c r="E255" s="7" t="s">
        <v>159</v>
      </c>
      <c r="F255" s="7"/>
      <c r="G255" s="7" t="s">
        <v>16</v>
      </c>
      <c r="H255" s="7" t="s">
        <v>208</v>
      </c>
      <c r="I255" s="7" t="s">
        <v>93</v>
      </c>
      <c r="J255" s="7" t="s">
        <v>50</v>
      </c>
      <c r="K255" s="7" t="s">
        <v>205</v>
      </c>
      <c r="L255" s="22" t="n">
        <v>24064</v>
      </c>
      <c r="M255" s="7" t="s">
        <v>209</v>
      </c>
      <c r="N255" s="3"/>
      <c r="O255" s="3"/>
      <c r="P255" s="3"/>
    </row>
    <row r="256" customFormat="false" ht="15.75" hidden="false" customHeight="true" outlineLevel="0" collapsed="false">
      <c r="A256" s="7" t="s">
        <v>459</v>
      </c>
      <c r="B256" s="8" t="n">
        <v>45825</v>
      </c>
      <c r="C256" s="7" t="s">
        <v>157</v>
      </c>
      <c r="D256" s="7" t="s">
        <v>158</v>
      </c>
      <c r="E256" s="7" t="s">
        <v>159</v>
      </c>
      <c r="F256" s="7"/>
      <c r="G256" s="7" t="s">
        <v>16</v>
      </c>
      <c r="H256" s="7" t="s">
        <v>183</v>
      </c>
      <c r="I256" s="7" t="s">
        <v>93</v>
      </c>
      <c r="J256" s="7" t="s">
        <v>50</v>
      </c>
      <c r="K256" s="7" t="s">
        <v>205</v>
      </c>
      <c r="L256" s="22" t="n">
        <v>14465</v>
      </c>
      <c r="M256" s="7" t="s">
        <v>209</v>
      </c>
      <c r="N256" s="3"/>
      <c r="O256" s="3"/>
      <c r="P256" s="3"/>
    </row>
    <row r="257" customFormat="false" ht="15.75" hidden="false" customHeight="true" outlineLevel="0" collapsed="false">
      <c r="A257" s="7" t="s">
        <v>460</v>
      </c>
      <c r="B257" s="8" t="n">
        <v>45825</v>
      </c>
      <c r="C257" s="7" t="s">
        <v>157</v>
      </c>
      <c r="D257" s="7" t="s">
        <v>158</v>
      </c>
      <c r="E257" s="7" t="s">
        <v>159</v>
      </c>
      <c r="F257" s="7"/>
      <c r="G257" s="7" t="s">
        <v>16</v>
      </c>
      <c r="H257" s="7" t="s">
        <v>183</v>
      </c>
      <c r="I257" s="7" t="s">
        <v>88</v>
      </c>
      <c r="J257" s="7" t="s">
        <v>205</v>
      </c>
      <c r="K257" s="7" t="s">
        <v>205</v>
      </c>
      <c r="L257" s="22" t="n">
        <v>0</v>
      </c>
      <c r="M257" s="7" t="s">
        <v>209</v>
      </c>
      <c r="N257" s="3"/>
      <c r="O257" s="3"/>
      <c r="P257" s="3"/>
    </row>
    <row r="258" customFormat="false" ht="15.75" hidden="false" customHeight="true" outlineLevel="0" collapsed="false">
      <c r="A258" s="7" t="s">
        <v>461</v>
      </c>
      <c r="B258" s="8" t="n">
        <v>45829</v>
      </c>
      <c r="C258" s="7" t="s">
        <v>161</v>
      </c>
      <c r="D258" s="7" t="s">
        <v>158</v>
      </c>
      <c r="E258" s="7" t="s">
        <v>159</v>
      </c>
      <c r="F258" s="7"/>
      <c r="G258" s="7" t="s">
        <v>16</v>
      </c>
      <c r="H258" s="7" t="s">
        <v>185</v>
      </c>
      <c r="I258" s="7" t="s">
        <v>107</v>
      </c>
      <c r="J258" s="7" t="s">
        <v>50</v>
      </c>
      <c r="K258" s="7" t="s">
        <v>50</v>
      </c>
      <c r="L258" s="22" t="n">
        <v>24656</v>
      </c>
      <c r="M258" s="7" t="s">
        <v>206</v>
      </c>
      <c r="N258" s="3"/>
      <c r="O258" s="3"/>
      <c r="P258" s="3"/>
    </row>
    <row r="259" customFormat="false" ht="15.75" hidden="false" customHeight="true" outlineLevel="0" collapsed="false">
      <c r="A259" s="7" t="s">
        <v>462</v>
      </c>
      <c r="B259" s="8" t="n">
        <v>45823</v>
      </c>
      <c r="C259" s="7" t="s">
        <v>161</v>
      </c>
      <c r="D259" s="7" t="s">
        <v>158</v>
      </c>
      <c r="E259" s="7" t="s">
        <v>159</v>
      </c>
      <c r="F259" s="7"/>
      <c r="G259" s="7" t="s">
        <v>16</v>
      </c>
      <c r="H259" s="7" t="s">
        <v>185</v>
      </c>
      <c r="I259" s="7" t="s">
        <v>93</v>
      </c>
      <c r="J259" s="7" t="s">
        <v>50</v>
      </c>
      <c r="K259" s="7" t="s">
        <v>205</v>
      </c>
      <c r="L259" s="22" t="n">
        <v>14106</v>
      </c>
      <c r="M259" s="7" t="s">
        <v>206</v>
      </c>
      <c r="N259" s="3"/>
      <c r="O259" s="3"/>
      <c r="P259" s="3"/>
    </row>
    <row r="260" customFormat="false" ht="15.75" hidden="false" customHeight="true" outlineLevel="0" collapsed="false">
      <c r="A260" s="7" t="s">
        <v>463</v>
      </c>
      <c r="B260" s="8" t="n">
        <v>45819</v>
      </c>
      <c r="C260" s="7" t="s">
        <v>157</v>
      </c>
      <c r="D260" s="7" t="s">
        <v>158</v>
      </c>
      <c r="E260" s="7" t="s">
        <v>159</v>
      </c>
      <c r="F260" s="7"/>
      <c r="G260" s="7" t="s">
        <v>16</v>
      </c>
      <c r="H260" s="7" t="s">
        <v>183</v>
      </c>
      <c r="I260" s="7" t="s">
        <v>88</v>
      </c>
      <c r="J260" s="7" t="s">
        <v>205</v>
      </c>
      <c r="K260" s="7" t="s">
        <v>205</v>
      </c>
      <c r="L260" s="22" t="n">
        <v>0</v>
      </c>
      <c r="M260" s="7" t="s">
        <v>206</v>
      </c>
      <c r="N260" s="3"/>
      <c r="O260" s="3"/>
      <c r="P260" s="3"/>
    </row>
    <row r="261" customFormat="false" ht="15.75" hidden="false" customHeight="true" outlineLevel="0" collapsed="false">
      <c r="A261" s="7" t="s">
        <v>464</v>
      </c>
      <c r="B261" s="8" t="n">
        <v>45830</v>
      </c>
      <c r="C261" s="7" t="s">
        <v>161</v>
      </c>
      <c r="D261" s="7" t="s">
        <v>158</v>
      </c>
      <c r="E261" s="7" t="s">
        <v>159</v>
      </c>
      <c r="F261" s="7"/>
      <c r="G261" s="7" t="s">
        <v>16</v>
      </c>
      <c r="H261" s="7" t="s">
        <v>185</v>
      </c>
      <c r="I261" s="7" t="s">
        <v>93</v>
      </c>
      <c r="J261" s="7" t="s">
        <v>50</v>
      </c>
      <c r="K261" s="7" t="s">
        <v>205</v>
      </c>
      <c r="L261" s="22" t="n">
        <v>21871</v>
      </c>
      <c r="M261" s="7" t="s">
        <v>209</v>
      </c>
      <c r="N261" s="3"/>
      <c r="O261" s="3"/>
      <c r="P261" s="3"/>
    </row>
    <row r="262" customFormat="false" ht="15.75" hidden="false" customHeight="true" outlineLevel="0" collapsed="false">
      <c r="A262" s="7" t="s">
        <v>465</v>
      </c>
      <c r="B262" s="8" t="n">
        <v>45813</v>
      </c>
      <c r="C262" s="7" t="s">
        <v>157</v>
      </c>
      <c r="D262" s="7" t="s">
        <v>158</v>
      </c>
      <c r="E262" s="7" t="s">
        <v>159</v>
      </c>
      <c r="F262" s="7"/>
      <c r="G262" s="7" t="s">
        <v>16</v>
      </c>
      <c r="H262" s="7" t="s">
        <v>183</v>
      </c>
      <c r="I262" s="7" t="s">
        <v>93</v>
      </c>
      <c r="J262" s="7" t="s">
        <v>50</v>
      </c>
      <c r="K262" s="7" t="s">
        <v>205</v>
      </c>
      <c r="L262" s="22" t="n">
        <v>18098</v>
      </c>
      <c r="M262" s="7" t="s">
        <v>206</v>
      </c>
      <c r="N262" s="3"/>
      <c r="O262" s="3"/>
      <c r="P262" s="3"/>
    </row>
    <row r="263" customFormat="false" ht="15.75" hidden="false" customHeight="true" outlineLevel="0" collapsed="false">
      <c r="A263" s="7" t="s">
        <v>466</v>
      </c>
      <c r="B263" s="8" t="n">
        <v>45818</v>
      </c>
      <c r="C263" s="7" t="s">
        <v>157</v>
      </c>
      <c r="D263" s="7" t="s">
        <v>158</v>
      </c>
      <c r="E263" s="7" t="s">
        <v>159</v>
      </c>
      <c r="F263" s="7"/>
      <c r="G263" s="7" t="s">
        <v>16</v>
      </c>
      <c r="H263" s="7" t="s">
        <v>183</v>
      </c>
      <c r="I263" s="7" t="s">
        <v>88</v>
      </c>
      <c r="J263" s="7" t="s">
        <v>205</v>
      </c>
      <c r="K263" s="7" t="s">
        <v>205</v>
      </c>
      <c r="L263" s="22" t="n">
        <v>0</v>
      </c>
      <c r="M263" s="7" t="s">
        <v>206</v>
      </c>
      <c r="N263" s="3"/>
      <c r="O263" s="3"/>
      <c r="P263" s="3"/>
    </row>
    <row r="264" customFormat="false" ht="15.75" hidden="false" customHeight="true" outlineLevel="0" collapsed="false">
      <c r="A264" s="7" t="s">
        <v>467</v>
      </c>
      <c r="B264" s="8" t="n">
        <v>45812</v>
      </c>
      <c r="C264" s="7" t="s">
        <v>161</v>
      </c>
      <c r="D264" s="7" t="s">
        <v>158</v>
      </c>
      <c r="E264" s="7" t="s">
        <v>159</v>
      </c>
      <c r="F264" s="7"/>
      <c r="G264" s="7" t="s">
        <v>16</v>
      </c>
      <c r="H264" s="7" t="s">
        <v>185</v>
      </c>
      <c r="I264" s="7" t="s">
        <v>88</v>
      </c>
      <c r="J264" s="7" t="s">
        <v>205</v>
      </c>
      <c r="K264" s="7" t="s">
        <v>205</v>
      </c>
      <c r="L264" s="22" t="n">
        <v>0</v>
      </c>
      <c r="M264" s="7" t="s">
        <v>206</v>
      </c>
      <c r="N264" s="3"/>
      <c r="O264" s="3"/>
      <c r="P264" s="3"/>
    </row>
    <row r="265" customFormat="false" ht="15.75" hidden="false" customHeight="true" outlineLevel="0" collapsed="false">
      <c r="A265" s="7" t="s">
        <v>468</v>
      </c>
      <c r="B265" s="8" t="n">
        <v>45810</v>
      </c>
      <c r="C265" s="7" t="s">
        <v>161</v>
      </c>
      <c r="D265" s="7" t="s">
        <v>158</v>
      </c>
      <c r="E265" s="7" t="s">
        <v>159</v>
      </c>
      <c r="F265" s="7"/>
      <c r="G265" s="7" t="s">
        <v>16</v>
      </c>
      <c r="H265" s="7" t="s">
        <v>185</v>
      </c>
      <c r="I265" s="7" t="s">
        <v>107</v>
      </c>
      <c r="J265" s="7" t="s">
        <v>50</v>
      </c>
      <c r="K265" s="7" t="s">
        <v>50</v>
      </c>
      <c r="L265" s="22" t="n">
        <v>19958</v>
      </c>
      <c r="M265" s="7" t="s">
        <v>206</v>
      </c>
      <c r="N265" s="3"/>
      <c r="O265" s="3"/>
      <c r="P265" s="3"/>
    </row>
    <row r="266" customFormat="false" ht="15.75" hidden="false" customHeight="true" outlineLevel="0" collapsed="false">
      <c r="A266" s="7" t="s">
        <v>469</v>
      </c>
      <c r="B266" s="8" t="n">
        <v>45829</v>
      </c>
      <c r="C266" s="7" t="s">
        <v>157</v>
      </c>
      <c r="D266" s="7" t="s">
        <v>158</v>
      </c>
      <c r="E266" s="7" t="s">
        <v>159</v>
      </c>
      <c r="F266" s="7"/>
      <c r="G266" s="7" t="s">
        <v>16</v>
      </c>
      <c r="H266" s="7" t="s">
        <v>183</v>
      </c>
      <c r="I266" s="7" t="s">
        <v>107</v>
      </c>
      <c r="J266" s="7" t="s">
        <v>50</v>
      </c>
      <c r="K266" s="7" t="s">
        <v>50</v>
      </c>
      <c r="L266" s="22" t="n">
        <v>15534</v>
      </c>
      <c r="M266" s="7" t="s">
        <v>209</v>
      </c>
      <c r="N266" s="3"/>
      <c r="O266" s="3"/>
      <c r="P266" s="3"/>
    </row>
    <row r="267" customFormat="false" ht="15.75" hidden="false" customHeight="true" outlineLevel="0" collapsed="false">
      <c r="A267" s="7" t="s">
        <v>470</v>
      </c>
      <c r="B267" s="8" t="n">
        <v>45811</v>
      </c>
      <c r="C267" s="7" t="s">
        <v>163</v>
      </c>
      <c r="D267" s="7" t="s">
        <v>158</v>
      </c>
      <c r="E267" s="7" t="s">
        <v>159</v>
      </c>
      <c r="F267" s="7"/>
      <c r="G267" s="7" t="s">
        <v>16</v>
      </c>
      <c r="H267" s="7" t="s">
        <v>208</v>
      </c>
      <c r="I267" s="7" t="s">
        <v>88</v>
      </c>
      <c r="J267" s="7" t="s">
        <v>205</v>
      </c>
      <c r="K267" s="7" t="s">
        <v>205</v>
      </c>
      <c r="L267" s="22" t="n">
        <v>0</v>
      </c>
      <c r="M267" s="7" t="s">
        <v>206</v>
      </c>
      <c r="N267" s="3"/>
      <c r="O267" s="3"/>
      <c r="P267" s="3"/>
    </row>
    <row r="268" customFormat="false" ht="15.75" hidden="false" customHeight="true" outlineLevel="0" collapsed="false">
      <c r="A268" s="7" t="s">
        <v>471</v>
      </c>
      <c r="B268" s="8" t="n">
        <v>45821</v>
      </c>
      <c r="C268" s="7" t="s">
        <v>163</v>
      </c>
      <c r="D268" s="7" t="s">
        <v>158</v>
      </c>
      <c r="E268" s="7" t="s">
        <v>159</v>
      </c>
      <c r="F268" s="7"/>
      <c r="G268" s="7" t="s">
        <v>16</v>
      </c>
      <c r="H268" s="7" t="s">
        <v>208</v>
      </c>
      <c r="I268" s="7" t="s">
        <v>93</v>
      </c>
      <c r="J268" s="7" t="s">
        <v>50</v>
      </c>
      <c r="K268" s="7" t="s">
        <v>205</v>
      </c>
      <c r="L268" s="22" t="n">
        <v>18488</v>
      </c>
      <c r="M268" s="7" t="s">
        <v>206</v>
      </c>
      <c r="N268" s="3"/>
      <c r="O268" s="3"/>
      <c r="P268" s="3"/>
    </row>
    <row r="269" customFormat="false" ht="15.75" hidden="false" customHeight="true" outlineLevel="0" collapsed="false">
      <c r="A269" s="7" t="s">
        <v>472</v>
      </c>
      <c r="B269" s="8" t="n">
        <v>45832</v>
      </c>
      <c r="C269" s="7" t="s">
        <v>161</v>
      </c>
      <c r="D269" s="7" t="s">
        <v>158</v>
      </c>
      <c r="E269" s="7" t="s">
        <v>159</v>
      </c>
      <c r="F269" s="7"/>
      <c r="G269" s="7" t="s">
        <v>16</v>
      </c>
      <c r="H269" s="7" t="s">
        <v>185</v>
      </c>
      <c r="I269" s="7" t="s">
        <v>93</v>
      </c>
      <c r="J269" s="7" t="s">
        <v>50</v>
      </c>
      <c r="K269" s="7" t="s">
        <v>205</v>
      </c>
      <c r="L269" s="22" t="n">
        <v>22359</v>
      </c>
      <c r="M269" s="7" t="s">
        <v>209</v>
      </c>
      <c r="N269" s="3"/>
      <c r="O269" s="3"/>
      <c r="P269" s="3"/>
    </row>
    <row r="270" customFormat="false" ht="15.75" hidden="false" customHeight="true" outlineLevel="0" collapsed="false">
      <c r="A270" s="7" t="s">
        <v>473</v>
      </c>
      <c r="B270" s="8" t="n">
        <v>45814</v>
      </c>
      <c r="C270" s="7" t="s">
        <v>157</v>
      </c>
      <c r="D270" s="7" t="s">
        <v>158</v>
      </c>
      <c r="E270" s="7" t="s">
        <v>159</v>
      </c>
      <c r="F270" s="7"/>
      <c r="G270" s="7" t="s">
        <v>16</v>
      </c>
      <c r="H270" s="7" t="s">
        <v>183</v>
      </c>
      <c r="I270" s="7" t="s">
        <v>107</v>
      </c>
      <c r="J270" s="7" t="s">
        <v>50</v>
      </c>
      <c r="K270" s="7" t="s">
        <v>50</v>
      </c>
      <c r="L270" s="22" t="n">
        <v>16444</v>
      </c>
      <c r="M270" s="7" t="s">
        <v>206</v>
      </c>
      <c r="N270" s="3"/>
      <c r="O270" s="3"/>
      <c r="P270" s="3"/>
    </row>
    <row r="271" customFormat="false" ht="15.75" hidden="false" customHeight="true" outlineLevel="0" collapsed="false">
      <c r="A271" s="7" t="s">
        <v>474</v>
      </c>
      <c r="B271" s="8" t="n">
        <v>45827</v>
      </c>
      <c r="C271" s="7" t="s">
        <v>157</v>
      </c>
      <c r="D271" s="7" t="s">
        <v>158</v>
      </c>
      <c r="E271" s="7" t="s">
        <v>159</v>
      </c>
      <c r="F271" s="7"/>
      <c r="G271" s="7" t="s">
        <v>16</v>
      </c>
      <c r="H271" s="7" t="s">
        <v>183</v>
      </c>
      <c r="I271" s="7" t="s">
        <v>93</v>
      </c>
      <c r="J271" s="7" t="s">
        <v>50</v>
      </c>
      <c r="K271" s="7" t="s">
        <v>205</v>
      </c>
      <c r="L271" s="22" t="n">
        <v>22643</v>
      </c>
      <c r="M271" s="7" t="s">
        <v>209</v>
      </c>
      <c r="N271" s="3"/>
      <c r="O271" s="3"/>
      <c r="P271" s="3"/>
    </row>
    <row r="272" customFormat="false" ht="15.75" hidden="false" customHeight="true" outlineLevel="0" collapsed="false">
      <c r="A272" s="7" t="s">
        <v>475</v>
      </c>
      <c r="B272" s="8" t="n">
        <v>45809</v>
      </c>
      <c r="C272" s="7" t="s">
        <v>163</v>
      </c>
      <c r="D272" s="7" t="s">
        <v>158</v>
      </c>
      <c r="E272" s="7" t="s">
        <v>159</v>
      </c>
      <c r="F272" s="7"/>
      <c r="G272" s="7" t="s">
        <v>16</v>
      </c>
      <c r="H272" s="7" t="s">
        <v>208</v>
      </c>
      <c r="I272" s="7" t="s">
        <v>93</v>
      </c>
      <c r="J272" s="7" t="s">
        <v>50</v>
      </c>
      <c r="K272" s="7" t="s">
        <v>205</v>
      </c>
      <c r="L272" s="22" t="n">
        <v>18973</v>
      </c>
      <c r="M272" s="7" t="s">
        <v>209</v>
      </c>
      <c r="N272" s="3"/>
      <c r="O272" s="3"/>
      <c r="P272" s="3"/>
    </row>
    <row r="273" customFormat="false" ht="15.75" hidden="false" customHeight="true" outlineLevel="0" collapsed="false">
      <c r="A273" s="7" t="s">
        <v>476</v>
      </c>
      <c r="B273" s="8" t="n">
        <v>45813</v>
      </c>
      <c r="C273" s="7" t="s">
        <v>162</v>
      </c>
      <c r="D273" s="7" t="s">
        <v>158</v>
      </c>
      <c r="E273" s="7" t="s">
        <v>159</v>
      </c>
      <c r="F273" s="7"/>
      <c r="G273" s="7" t="s">
        <v>16</v>
      </c>
      <c r="H273" s="7" t="s">
        <v>211</v>
      </c>
      <c r="I273" s="7" t="s">
        <v>93</v>
      </c>
      <c r="J273" s="7" t="s">
        <v>50</v>
      </c>
      <c r="K273" s="7" t="s">
        <v>205</v>
      </c>
      <c r="L273" s="22" t="n">
        <v>19343</v>
      </c>
      <c r="M273" s="7" t="s">
        <v>206</v>
      </c>
      <c r="N273" s="3"/>
      <c r="O273" s="3"/>
      <c r="P273" s="3"/>
    </row>
    <row r="274" customFormat="false" ht="15.75" hidden="false" customHeight="true" outlineLevel="0" collapsed="false">
      <c r="A274" s="7" t="s">
        <v>477</v>
      </c>
      <c r="B274" s="8" t="n">
        <v>45818</v>
      </c>
      <c r="C274" s="7" t="s">
        <v>163</v>
      </c>
      <c r="D274" s="7" t="s">
        <v>158</v>
      </c>
      <c r="E274" s="7" t="s">
        <v>159</v>
      </c>
      <c r="F274" s="7"/>
      <c r="G274" s="7" t="s">
        <v>16</v>
      </c>
      <c r="H274" s="7" t="s">
        <v>208</v>
      </c>
      <c r="I274" s="7" t="s">
        <v>93</v>
      </c>
      <c r="J274" s="7" t="s">
        <v>50</v>
      </c>
      <c r="K274" s="7" t="s">
        <v>205</v>
      </c>
      <c r="L274" s="22" t="n">
        <v>15188</v>
      </c>
      <c r="M274" s="7" t="s">
        <v>206</v>
      </c>
      <c r="N274" s="3"/>
      <c r="O274" s="3"/>
      <c r="P274" s="3"/>
    </row>
    <row r="275" customFormat="false" ht="15.75" hidden="false" customHeight="true" outlineLevel="0" collapsed="false">
      <c r="A275" s="7" t="s">
        <v>478</v>
      </c>
      <c r="B275" s="8" t="n">
        <v>45830</v>
      </c>
      <c r="C275" s="7" t="s">
        <v>163</v>
      </c>
      <c r="D275" s="7" t="s">
        <v>158</v>
      </c>
      <c r="E275" s="7" t="s">
        <v>159</v>
      </c>
      <c r="F275" s="7"/>
      <c r="G275" s="7" t="s">
        <v>16</v>
      </c>
      <c r="H275" s="7" t="s">
        <v>208</v>
      </c>
      <c r="I275" s="7" t="s">
        <v>88</v>
      </c>
      <c r="J275" s="7" t="s">
        <v>205</v>
      </c>
      <c r="K275" s="7" t="s">
        <v>205</v>
      </c>
      <c r="L275" s="22" t="n">
        <v>0</v>
      </c>
      <c r="M275" s="7" t="s">
        <v>209</v>
      </c>
      <c r="N275" s="3"/>
      <c r="O275" s="3"/>
      <c r="P275" s="3"/>
    </row>
    <row r="276" customFormat="false" ht="15.75" hidden="false" customHeight="true" outlineLevel="0" collapsed="false">
      <c r="A276" s="7" t="s">
        <v>479</v>
      </c>
      <c r="B276" s="8" t="n">
        <v>45820</v>
      </c>
      <c r="C276" s="7" t="s">
        <v>162</v>
      </c>
      <c r="D276" s="7" t="s">
        <v>158</v>
      </c>
      <c r="E276" s="7" t="s">
        <v>159</v>
      </c>
      <c r="F276" s="7"/>
      <c r="G276" s="7" t="s">
        <v>16</v>
      </c>
      <c r="H276" s="7" t="s">
        <v>211</v>
      </c>
      <c r="I276" s="7" t="s">
        <v>93</v>
      </c>
      <c r="J276" s="7" t="s">
        <v>50</v>
      </c>
      <c r="K276" s="7" t="s">
        <v>205</v>
      </c>
      <c r="L276" s="22" t="n">
        <v>9811</v>
      </c>
      <c r="M276" s="7" t="s">
        <v>206</v>
      </c>
      <c r="N276" s="3"/>
      <c r="O276" s="3"/>
      <c r="P276" s="3"/>
    </row>
    <row r="277" customFormat="false" ht="15.75" hidden="false" customHeight="true" outlineLevel="0" collapsed="false">
      <c r="A277" s="7" t="s">
        <v>480</v>
      </c>
      <c r="B277" s="8" t="n">
        <v>45834</v>
      </c>
      <c r="C277" s="7" t="s">
        <v>157</v>
      </c>
      <c r="D277" s="7" t="s">
        <v>158</v>
      </c>
      <c r="E277" s="7" t="s">
        <v>159</v>
      </c>
      <c r="F277" s="7"/>
      <c r="G277" s="7" t="s">
        <v>16</v>
      </c>
      <c r="H277" s="7" t="s">
        <v>183</v>
      </c>
      <c r="I277" s="7" t="s">
        <v>93</v>
      </c>
      <c r="J277" s="7" t="s">
        <v>50</v>
      </c>
      <c r="K277" s="7" t="s">
        <v>205</v>
      </c>
      <c r="L277" s="22" t="n">
        <v>8787</v>
      </c>
      <c r="M277" s="7" t="s">
        <v>209</v>
      </c>
      <c r="N277" s="3"/>
      <c r="O277" s="3"/>
      <c r="P277" s="3"/>
    </row>
    <row r="278" customFormat="false" ht="15.75" hidden="false" customHeight="true" outlineLevel="0" collapsed="false">
      <c r="A278" s="7" t="s">
        <v>481</v>
      </c>
      <c r="B278" s="8" t="n">
        <v>45824</v>
      </c>
      <c r="C278" s="7" t="s">
        <v>161</v>
      </c>
      <c r="D278" s="7" t="s">
        <v>158</v>
      </c>
      <c r="E278" s="7" t="s">
        <v>159</v>
      </c>
      <c r="F278" s="7"/>
      <c r="G278" s="7" t="s">
        <v>16</v>
      </c>
      <c r="H278" s="7" t="s">
        <v>185</v>
      </c>
      <c r="I278" s="7" t="s">
        <v>93</v>
      </c>
      <c r="J278" s="7" t="s">
        <v>50</v>
      </c>
      <c r="K278" s="7" t="s">
        <v>205</v>
      </c>
      <c r="L278" s="22" t="n">
        <v>22291</v>
      </c>
      <c r="M278" s="7" t="s">
        <v>206</v>
      </c>
      <c r="N278" s="3"/>
      <c r="O278" s="3"/>
      <c r="P278" s="3"/>
    </row>
    <row r="279" customFormat="false" ht="15.75" hidden="false" customHeight="true" outlineLevel="0" collapsed="false">
      <c r="A279" s="7" t="s">
        <v>482</v>
      </c>
      <c r="B279" s="8" t="n">
        <v>45815</v>
      </c>
      <c r="C279" s="7" t="s">
        <v>157</v>
      </c>
      <c r="D279" s="7" t="s">
        <v>158</v>
      </c>
      <c r="E279" s="7" t="s">
        <v>159</v>
      </c>
      <c r="F279" s="7"/>
      <c r="G279" s="7" t="s">
        <v>16</v>
      </c>
      <c r="H279" s="7" t="s">
        <v>183</v>
      </c>
      <c r="I279" s="7" t="s">
        <v>93</v>
      </c>
      <c r="J279" s="7" t="s">
        <v>50</v>
      </c>
      <c r="K279" s="7" t="s">
        <v>205</v>
      </c>
      <c r="L279" s="22" t="n">
        <v>10305</v>
      </c>
      <c r="M279" s="7" t="s">
        <v>209</v>
      </c>
      <c r="N279" s="3"/>
      <c r="O279" s="3"/>
      <c r="P279" s="3"/>
    </row>
    <row r="280" customFormat="false" ht="15.75" hidden="false" customHeight="true" outlineLevel="0" collapsed="false">
      <c r="A280" s="7" t="s">
        <v>483</v>
      </c>
      <c r="B280" s="8" t="n">
        <v>45826</v>
      </c>
      <c r="C280" s="7" t="s">
        <v>163</v>
      </c>
      <c r="D280" s="7" t="s">
        <v>158</v>
      </c>
      <c r="E280" s="7" t="s">
        <v>159</v>
      </c>
      <c r="F280" s="7"/>
      <c r="G280" s="7" t="s">
        <v>16</v>
      </c>
      <c r="H280" s="7" t="s">
        <v>208</v>
      </c>
      <c r="I280" s="7" t="s">
        <v>93</v>
      </c>
      <c r="J280" s="7" t="s">
        <v>50</v>
      </c>
      <c r="K280" s="7" t="s">
        <v>205</v>
      </c>
      <c r="L280" s="22" t="n">
        <v>15311</v>
      </c>
      <c r="M280" s="7" t="s">
        <v>206</v>
      </c>
      <c r="N280" s="3"/>
      <c r="O280" s="3"/>
      <c r="P280" s="3"/>
    </row>
    <row r="281" customFormat="false" ht="15.75" hidden="false" customHeight="true" outlineLevel="0" collapsed="false">
      <c r="A281" s="7" t="s">
        <v>484</v>
      </c>
      <c r="B281" s="8" t="n">
        <v>45827</v>
      </c>
      <c r="C281" s="7" t="s">
        <v>163</v>
      </c>
      <c r="D281" s="7" t="s">
        <v>158</v>
      </c>
      <c r="E281" s="7" t="s">
        <v>159</v>
      </c>
      <c r="F281" s="7"/>
      <c r="G281" s="7" t="s">
        <v>16</v>
      </c>
      <c r="H281" s="7" t="s">
        <v>208</v>
      </c>
      <c r="I281" s="7" t="s">
        <v>93</v>
      </c>
      <c r="J281" s="7" t="s">
        <v>50</v>
      </c>
      <c r="K281" s="7" t="s">
        <v>205</v>
      </c>
      <c r="L281" s="22" t="n">
        <v>17048</v>
      </c>
      <c r="M281" s="7" t="s">
        <v>206</v>
      </c>
      <c r="N281" s="3"/>
      <c r="O281" s="3"/>
      <c r="P281" s="3"/>
    </row>
    <row r="282" customFormat="false" ht="15.75" hidden="false" customHeight="true" outlineLevel="0" collapsed="false">
      <c r="A282" s="7" t="s">
        <v>485</v>
      </c>
      <c r="B282" s="8" t="n">
        <v>45828</v>
      </c>
      <c r="C282" s="7" t="s">
        <v>163</v>
      </c>
      <c r="D282" s="7" t="s">
        <v>158</v>
      </c>
      <c r="E282" s="7" t="s">
        <v>159</v>
      </c>
      <c r="F282" s="7"/>
      <c r="G282" s="7" t="s">
        <v>16</v>
      </c>
      <c r="H282" s="7" t="s">
        <v>208</v>
      </c>
      <c r="I282" s="7" t="s">
        <v>93</v>
      </c>
      <c r="J282" s="7" t="s">
        <v>50</v>
      </c>
      <c r="K282" s="7" t="s">
        <v>205</v>
      </c>
      <c r="L282" s="22" t="n">
        <v>14687</v>
      </c>
      <c r="M282" s="7" t="s">
        <v>209</v>
      </c>
      <c r="N282" s="3"/>
      <c r="O282" s="3"/>
      <c r="P282" s="3"/>
    </row>
    <row r="283" customFormat="false" ht="15.75" hidden="false" customHeight="true" outlineLevel="0" collapsed="false">
      <c r="A283" s="7" t="s">
        <v>486</v>
      </c>
      <c r="B283" s="8" t="n">
        <v>45834</v>
      </c>
      <c r="C283" s="7" t="s">
        <v>162</v>
      </c>
      <c r="D283" s="7" t="s">
        <v>158</v>
      </c>
      <c r="E283" s="7" t="s">
        <v>159</v>
      </c>
      <c r="F283" s="7"/>
      <c r="G283" s="7" t="s">
        <v>16</v>
      </c>
      <c r="H283" s="7" t="s">
        <v>211</v>
      </c>
      <c r="I283" s="7" t="s">
        <v>88</v>
      </c>
      <c r="J283" s="7" t="s">
        <v>205</v>
      </c>
      <c r="K283" s="7" t="s">
        <v>205</v>
      </c>
      <c r="L283" s="22" t="n">
        <v>0</v>
      </c>
      <c r="M283" s="7" t="s">
        <v>209</v>
      </c>
      <c r="N283" s="3"/>
      <c r="O283" s="3"/>
      <c r="P283" s="3"/>
    </row>
    <row r="284" customFormat="false" ht="15.75" hidden="false" customHeight="true" outlineLevel="0" collapsed="false">
      <c r="A284" s="7" t="s">
        <v>487</v>
      </c>
      <c r="B284" s="8" t="n">
        <v>45809</v>
      </c>
      <c r="C284" s="7" t="s">
        <v>162</v>
      </c>
      <c r="D284" s="7" t="s">
        <v>158</v>
      </c>
      <c r="E284" s="7" t="s">
        <v>159</v>
      </c>
      <c r="F284" s="7"/>
      <c r="G284" s="7" t="s">
        <v>16</v>
      </c>
      <c r="H284" s="7" t="s">
        <v>211</v>
      </c>
      <c r="I284" s="7" t="s">
        <v>107</v>
      </c>
      <c r="J284" s="7" t="s">
        <v>50</v>
      </c>
      <c r="K284" s="7" t="s">
        <v>50</v>
      </c>
      <c r="L284" s="22" t="n">
        <v>13797</v>
      </c>
      <c r="M284" s="7" t="s">
        <v>206</v>
      </c>
      <c r="N284" s="3"/>
      <c r="O284" s="3"/>
      <c r="P284" s="3"/>
    </row>
    <row r="285" customFormat="false" ht="15.75" hidden="false" customHeight="true" outlineLevel="0" collapsed="false">
      <c r="A285" s="7" t="s">
        <v>488</v>
      </c>
      <c r="B285" s="8" t="n">
        <v>45830</v>
      </c>
      <c r="C285" s="7" t="s">
        <v>163</v>
      </c>
      <c r="D285" s="7" t="s">
        <v>158</v>
      </c>
      <c r="E285" s="7" t="s">
        <v>159</v>
      </c>
      <c r="F285" s="7"/>
      <c r="G285" s="7" t="s">
        <v>16</v>
      </c>
      <c r="H285" s="7" t="s">
        <v>208</v>
      </c>
      <c r="I285" s="7" t="s">
        <v>88</v>
      </c>
      <c r="J285" s="7" t="s">
        <v>205</v>
      </c>
      <c r="K285" s="7" t="s">
        <v>205</v>
      </c>
      <c r="L285" s="22" t="n">
        <v>0</v>
      </c>
      <c r="M285" s="7" t="s">
        <v>209</v>
      </c>
      <c r="N285" s="3"/>
      <c r="O285" s="3"/>
      <c r="P285" s="3"/>
    </row>
    <row r="286" customFormat="false" ht="15.75" hidden="false" customHeight="true" outlineLevel="0" collapsed="false">
      <c r="A286" s="7" t="s">
        <v>489</v>
      </c>
      <c r="B286" s="8" t="n">
        <v>45819</v>
      </c>
      <c r="C286" s="7" t="s">
        <v>162</v>
      </c>
      <c r="D286" s="7" t="s">
        <v>158</v>
      </c>
      <c r="E286" s="7" t="s">
        <v>159</v>
      </c>
      <c r="F286" s="7"/>
      <c r="G286" s="7" t="s">
        <v>16</v>
      </c>
      <c r="H286" s="7" t="s">
        <v>211</v>
      </c>
      <c r="I286" s="7" t="s">
        <v>107</v>
      </c>
      <c r="J286" s="7" t="s">
        <v>50</v>
      </c>
      <c r="K286" s="7" t="s">
        <v>50</v>
      </c>
      <c r="L286" s="22" t="n">
        <v>11633</v>
      </c>
      <c r="M286" s="7" t="s">
        <v>209</v>
      </c>
      <c r="N286" s="3"/>
      <c r="O286" s="3"/>
      <c r="P286" s="3"/>
    </row>
    <row r="287" customFormat="false" ht="15.75" hidden="false" customHeight="true" outlineLevel="0" collapsed="false">
      <c r="A287" s="7" t="s">
        <v>490</v>
      </c>
      <c r="B287" s="8" t="n">
        <v>45836</v>
      </c>
      <c r="C287" s="7" t="s">
        <v>162</v>
      </c>
      <c r="D287" s="7" t="s">
        <v>158</v>
      </c>
      <c r="E287" s="7" t="s">
        <v>159</v>
      </c>
      <c r="F287" s="7"/>
      <c r="G287" s="7" t="s">
        <v>16</v>
      </c>
      <c r="H287" s="7" t="s">
        <v>211</v>
      </c>
      <c r="I287" s="7" t="s">
        <v>107</v>
      </c>
      <c r="J287" s="7" t="s">
        <v>50</v>
      </c>
      <c r="K287" s="7" t="s">
        <v>50</v>
      </c>
      <c r="L287" s="22" t="n">
        <v>18054</v>
      </c>
      <c r="M287" s="7" t="s">
        <v>209</v>
      </c>
      <c r="N287" s="3"/>
      <c r="O287" s="3"/>
      <c r="P287" s="3"/>
    </row>
    <row r="288" customFormat="false" ht="15.75" hidden="false" customHeight="true" outlineLevel="0" collapsed="false">
      <c r="A288" s="7" t="s">
        <v>491</v>
      </c>
      <c r="B288" s="8" t="n">
        <v>45826</v>
      </c>
      <c r="C288" s="7" t="s">
        <v>161</v>
      </c>
      <c r="D288" s="7" t="s">
        <v>158</v>
      </c>
      <c r="E288" s="7" t="s">
        <v>159</v>
      </c>
      <c r="F288" s="7"/>
      <c r="G288" s="7" t="s">
        <v>16</v>
      </c>
      <c r="H288" s="7" t="s">
        <v>185</v>
      </c>
      <c r="I288" s="7" t="s">
        <v>93</v>
      </c>
      <c r="J288" s="7" t="s">
        <v>50</v>
      </c>
      <c r="K288" s="7" t="s">
        <v>205</v>
      </c>
      <c r="L288" s="22" t="n">
        <v>10635</v>
      </c>
      <c r="M288" s="7" t="s">
        <v>209</v>
      </c>
      <c r="N288" s="3"/>
      <c r="O288" s="3"/>
      <c r="P288" s="3"/>
    </row>
    <row r="289" customFormat="false" ht="15.75" hidden="false" customHeight="true" outlineLevel="0" collapsed="false">
      <c r="A289" s="7" t="s">
        <v>492</v>
      </c>
      <c r="B289" s="8" t="n">
        <v>45824</v>
      </c>
      <c r="C289" s="7" t="s">
        <v>157</v>
      </c>
      <c r="D289" s="7" t="s">
        <v>158</v>
      </c>
      <c r="E289" s="7" t="s">
        <v>159</v>
      </c>
      <c r="F289" s="7"/>
      <c r="G289" s="7" t="s">
        <v>16</v>
      </c>
      <c r="H289" s="7" t="s">
        <v>183</v>
      </c>
      <c r="I289" s="7" t="s">
        <v>107</v>
      </c>
      <c r="J289" s="7" t="s">
        <v>50</v>
      </c>
      <c r="K289" s="7" t="s">
        <v>50</v>
      </c>
      <c r="L289" s="22" t="n">
        <v>19087</v>
      </c>
      <c r="M289" s="7" t="s">
        <v>206</v>
      </c>
      <c r="N289" s="3"/>
      <c r="O289" s="3"/>
      <c r="P289" s="3"/>
    </row>
    <row r="290" customFormat="false" ht="15.75" hidden="false" customHeight="true" outlineLevel="0" collapsed="false">
      <c r="A290" s="7" t="s">
        <v>493</v>
      </c>
      <c r="B290" s="8" t="n">
        <v>45830</v>
      </c>
      <c r="C290" s="7" t="s">
        <v>157</v>
      </c>
      <c r="D290" s="7" t="s">
        <v>158</v>
      </c>
      <c r="E290" s="7" t="s">
        <v>159</v>
      </c>
      <c r="F290" s="7"/>
      <c r="G290" s="7" t="s">
        <v>16</v>
      </c>
      <c r="H290" s="7" t="s">
        <v>183</v>
      </c>
      <c r="I290" s="7" t="s">
        <v>93</v>
      </c>
      <c r="J290" s="7" t="s">
        <v>50</v>
      </c>
      <c r="K290" s="7" t="s">
        <v>205</v>
      </c>
      <c r="L290" s="22" t="n">
        <v>23244</v>
      </c>
      <c r="M290" s="7" t="s">
        <v>206</v>
      </c>
      <c r="N290" s="3"/>
      <c r="O290" s="3"/>
      <c r="P290" s="3"/>
    </row>
    <row r="291" customFormat="false" ht="15.75" hidden="false" customHeight="true" outlineLevel="0" collapsed="false">
      <c r="A291" s="7" t="s">
        <v>494</v>
      </c>
      <c r="B291" s="8" t="n">
        <v>45829</v>
      </c>
      <c r="C291" s="7" t="s">
        <v>162</v>
      </c>
      <c r="D291" s="7" t="s">
        <v>158</v>
      </c>
      <c r="E291" s="7" t="s">
        <v>159</v>
      </c>
      <c r="F291" s="7"/>
      <c r="G291" s="7" t="s">
        <v>16</v>
      </c>
      <c r="H291" s="7" t="s">
        <v>211</v>
      </c>
      <c r="I291" s="7" t="s">
        <v>93</v>
      </c>
      <c r="J291" s="7" t="s">
        <v>50</v>
      </c>
      <c r="K291" s="7" t="s">
        <v>205</v>
      </c>
      <c r="L291" s="22" t="n">
        <v>24614</v>
      </c>
      <c r="M291" s="7" t="s">
        <v>206</v>
      </c>
      <c r="N291" s="3"/>
      <c r="O291" s="3"/>
      <c r="P291" s="3"/>
    </row>
    <row r="292" customFormat="false" ht="15.75" hidden="false" customHeight="true" outlineLevel="0" collapsed="false">
      <c r="A292" s="7" t="s">
        <v>495</v>
      </c>
      <c r="B292" s="8" t="n">
        <v>45834</v>
      </c>
      <c r="C292" s="7" t="s">
        <v>161</v>
      </c>
      <c r="D292" s="7" t="s">
        <v>158</v>
      </c>
      <c r="E292" s="7" t="s">
        <v>159</v>
      </c>
      <c r="F292" s="7"/>
      <c r="G292" s="7" t="s">
        <v>16</v>
      </c>
      <c r="H292" s="7" t="s">
        <v>185</v>
      </c>
      <c r="I292" s="7" t="s">
        <v>93</v>
      </c>
      <c r="J292" s="7" t="s">
        <v>50</v>
      </c>
      <c r="K292" s="7" t="s">
        <v>205</v>
      </c>
      <c r="L292" s="22" t="n">
        <v>13601</v>
      </c>
      <c r="M292" s="7" t="s">
        <v>206</v>
      </c>
      <c r="N292" s="3"/>
      <c r="O292" s="3"/>
      <c r="P292" s="3"/>
    </row>
    <row r="293" customFormat="false" ht="15.75" hidden="false" customHeight="true" outlineLevel="0" collapsed="false">
      <c r="A293" s="7" t="s">
        <v>496</v>
      </c>
      <c r="B293" s="8" t="n">
        <v>45827</v>
      </c>
      <c r="C293" s="7" t="s">
        <v>157</v>
      </c>
      <c r="D293" s="7" t="s">
        <v>158</v>
      </c>
      <c r="E293" s="7" t="s">
        <v>159</v>
      </c>
      <c r="F293" s="7"/>
      <c r="G293" s="7" t="s">
        <v>16</v>
      </c>
      <c r="H293" s="7" t="s">
        <v>183</v>
      </c>
      <c r="I293" s="7" t="s">
        <v>93</v>
      </c>
      <c r="J293" s="7" t="s">
        <v>50</v>
      </c>
      <c r="K293" s="7" t="s">
        <v>205</v>
      </c>
      <c r="L293" s="22" t="n">
        <v>9599</v>
      </c>
      <c r="M293" s="7" t="s">
        <v>209</v>
      </c>
      <c r="N293" s="3"/>
      <c r="O293" s="3"/>
      <c r="P293" s="3"/>
    </row>
    <row r="294" customFormat="false" ht="15.75" hidden="false" customHeight="true" outlineLevel="0" collapsed="false">
      <c r="A294" s="7" t="s">
        <v>497</v>
      </c>
      <c r="B294" s="8" t="n">
        <v>45833</v>
      </c>
      <c r="C294" s="7" t="s">
        <v>157</v>
      </c>
      <c r="D294" s="7" t="s">
        <v>158</v>
      </c>
      <c r="E294" s="7" t="s">
        <v>159</v>
      </c>
      <c r="F294" s="7"/>
      <c r="G294" s="7" t="s">
        <v>16</v>
      </c>
      <c r="H294" s="7" t="s">
        <v>183</v>
      </c>
      <c r="I294" s="7" t="s">
        <v>107</v>
      </c>
      <c r="J294" s="7" t="s">
        <v>50</v>
      </c>
      <c r="K294" s="7" t="s">
        <v>50</v>
      </c>
      <c r="L294" s="22" t="n">
        <v>21801</v>
      </c>
      <c r="M294" s="7" t="s">
        <v>206</v>
      </c>
      <c r="N294" s="3"/>
      <c r="O294" s="3"/>
      <c r="P294" s="3"/>
    </row>
    <row r="295" customFormat="false" ht="15.75" hidden="false" customHeight="true" outlineLevel="0" collapsed="false">
      <c r="A295" s="7" t="s">
        <v>498</v>
      </c>
      <c r="B295" s="8" t="n">
        <v>45816</v>
      </c>
      <c r="C295" s="7" t="s">
        <v>161</v>
      </c>
      <c r="D295" s="7" t="s">
        <v>158</v>
      </c>
      <c r="E295" s="7" t="s">
        <v>159</v>
      </c>
      <c r="F295" s="7"/>
      <c r="G295" s="7" t="s">
        <v>16</v>
      </c>
      <c r="H295" s="7" t="s">
        <v>185</v>
      </c>
      <c r="I295" s="7" t="s">
        <v>93</v>
      </c>
      <c r="J295" s="7" t="s">
        <v>50</v>
      </c>
      <c r="K295" s="7" t="s">
        <v>205</v>
      </c>
      <c r="L295" s="22" t="n">
        <v>12603</v>
      </c>
      <c r="M295" s="7" t="s">
        <v>209</v>
      </c>
      <c r="N295" s="3"/>
      <c r="O295" s="3"/>
      <c r="P295" s="3"/>
    </row>
    <row r="296" customFormat="false" ht="15.75" hidden="false" customHeight="true" outlineLevel="0" collapsed="false">
      <c r="A296" s="7" t="s">
        <v>499</v>
      </c>
      <c r="B296" s="8" t="n">
        <v>45809</v>
      </c>
      <c r="C296" s="7" t="s">
        <v>163</v>
      </c>
      <c r="D296" s="7" t="s">
        <v>158</v>
      </c>
      <c r="E296" s="7" t="s">
        <v>159</v>
      </c>
      <c r="F296" s="7"/>
      <c r="G296" s="7" t="s">
        <v>16</v>
      </c>
      <c r="H296" s="7" t="s">
        <v>208</v>
      </c>
      <c r="I296" s="7" t="s">
        <v>88</v>
      </c>
      <c r="J296" s="7" t="s">
        <v>205</v>
      </c>
      <c r="K296" s="7" t="s">
        <v>205</v>
      </c>
      <c r="L296" s="22" t="n">
        <v>0</v>
      </c>
      <c r="M296" s="7" t="s">
        <v>206</v>
      </c>
      <c r="N296" s="3"/>
      <c r="O296" s="3"/>
      <c r="P296" s="3"/>
    </row>
    <row r="297" customFormat="false" ht="15.75" hidden="false" customHeight="true" outlineLevel="0" collapsed="false">
      <c r="A297" s="7" t="s">
        <v>500</v>
      </c>
      <c r="B297" s="8" t="n">
        <v>45811</v>
      </c>
      <c r="C297" s="7" t="s">
        <v>163</v>
      </c>
      <c r="D297" s="7" t="s">
        <v>158</v>
      </c>
      <c r="E297" s="7" t="s">
        <v>159</v>
      </c>
      <c r="F297" s="7"/>
      <c r="G297" s="7" t="s">
        <v>16</v>
      </c>
      <c r="H297" s="7" t="s">
        <v>208</v>
      </c>
      <c r="I297" s="7" t="s">
        <v>107</v>
      </c>
      <c r="J297" s="7" t="s">
        <v>50</v>
      </c>
      <c r="K297" s="7" t="s">
        <v>50</v>
      </c>
      <c r="L297" s="22" t="n">
        <v>22442</v>
      </c>
      <c r="M297" s="7" t="s">
        <v>206</v>
      </c>
      <c r="N297" s="3"/>
      <c r="O297" s="3"/>
      <c r="P297" s="3"/>
    </row>
    <row r="298" customFormat="false" ht="15.75" hidden="false" customHeight="true" outlineLevel="0" collapsed="false">
      <c r="A298" s="7" t="s">
        <v>501</v>
      </c>
      <c r="B298" s="8" t="n">
        <v>45821</v>
      </c>
      <c r="C298" s="7" t="s">
        <v>163</v>
      </c>
      <c r="D298" s="7" t="s">
        <v>158</v>
      </c>
      <c r="E298" s="7" t="s">
        <v>159</v>
      </c>
      <c r="F298" s="7"/>
      <c r="G298" s="7" t="s">
        <v>16</v>
      </c>
      <c r="H298" s="7" t="s">
        <v>208</v>
      </c>
      <c r="I298" s="7" t="s">
        <v>93</v>
      </c>
      <c r="J298" s="7" t="s">
        <v>50</v>
      </c>
      <c r="K298" s="7" t="s">
        <v>205</v>
      </c>
      <c r="L298" s="22" t="n">
        <v>19685</v>
      </c>
      <c r="M298" s="7" t="s">
        <v>206</v>
      </c>
      <c r="N298" s="3"/>
      <c r="O298" s="3"/>
      <c r="P298" s="3"/>
    </row>
    <row r="299" customFormat="false" ht="15.75" hidden="false" customHeight="true" outlineLevel="0" collapsed="false">
      <c r="A299" s="7" t="s">
        <v>502</v>
      </c>
      <c r="B299" s="8" t="n">
        <v>45819</v>
      </c>
      <c r="C299" s="7" t="s">
        <v>161</v>
      </c>
      <c r="D299" s="7" t="s">
        <v>158</v>
      </c>
      <c r="E299" s="7" t="s">
        <v>159</v>
      </c>
      <c r="F299" s="7"/>
      <c r="G299" s="7" t="s">
        <v>16</v>
      </c>
      <c r="H299" s="7" t="s">
        <v>185</v>
      </c>
      <c r="I299" s="7" t="s">
        <v>93</v>
      </c>
      <c r="J299" s="7" t="s">
        <v>50</v>
      </c>
      <c r="K299" s="7" t="s">
        <v>205</v>
      </c>
      <c r="L299" s="22" t="n">
        <v>14974</v>
      </c>
      <c r="M299" s="7" t="s">
        <v>209</v>
      </c>
      <c r="N299" s="3"/>
      <c r="O299" s="3"/>
      <c r="P299" s="3"/>
    </row>
    <row r="300" customFormat="false" ht="15.75" hidden="false" customHeight="true" outlineLevel="0" collapsed="false">
      <c r="A300" s="7" t="s">
        <v>503</v>
      </c>
      <c r="B300" s="8" t="n">
        <v>45827</v>
      </c>
      <c r="C300" s="7" t="s">
        <v>162</v>
      </c>
      <c r="D300" s="7" t="s">
        <v>158</v>
      </c>
      <c r="E300" s="7" t="s">
        <v>159</v>
      </c>
      <c r="F300" s="7"/>
      <c r="G300" s="7" t="s">
        <v>16</v>
      </c>
      <c r="H300" s="7" t="s">
        <v>211</v>
      </c>
      <c r="I300" s="7" t="s">
        <v>93</v>
      </c>
      <c r="J300" s="7" t="s">
        <v>50</v>
      </c>
      <c r="K300" s="7" t="s">
        <v>205</v>
      </c>
      <c r="L300" s="22" t="n">
        <v>23775</v>
      </c>
      <c r="M300" s="7" t="s">
        <v>209</v>
      </c>
      <c r="N300" s="3"/>
      <c r="O300" s="3"/>
      <c r="P300" s="3"/>
    </row>
    <row r="301" customFormat="false" ht="15.75" hidden="false" customHeight="true" outlineLevel="0" collapsed="false">
      <c r="A301" s="7" t="s">
        <v>504</v>
      </c>
      <c r="B301" s="8" t="n">
        <v>45813</v>
      </c>
      <c r="C301" s="7" t="s">
        <v>161</v>
      </c>
      <c r="D301" s="7" t="s">
        <v>158</v>
      </c>
      <c r="E301" s="7" t="s">
        <v>159</v>
      </c>
      <c r="F301" s="7"/>
      <c r="G301" s="7" t="s">
        <v>16</v>
      </c>
      <c r="H301" s="7" t="s">
        <v>185</v>
      </c>
      <c r="I301" s="7" t="s">
        <v>93</v>
      </c>
      <c r="J301" s="7" t="s">
        <v>50</v>
      </c>
      <c r="K301" s="7" t="s">
        <v>205</v>
      </c>
      <c r="L301" s="22" t="n">
        <v>9202</v>
      </c>
      <c r="M301" s="7" t="s">
        <v>206</v>
      </c>
      <c r="N301" s="3"/>
      <c r="O301" s="3"/>
      <c r="P301" s="3"/>
    </row>
    <row r="302" customFormat="false" ht="15.75" hidden="false" customHeight="true" outlineLevel="0" collapsed="false">
      <c r="A302" s="7" t="s">
        <v>505</v>
      </c>
      <c r="B302" s="8" t="n">
        <v>45829</v>
      </c>
      <c r="C302" s="7" t="s">
        <v>163</v>
      </c>
      <c r="D302" s="7" t="s">
        <v>158</v>
      </c>
      <c r="E302" s="7" t="s">
        <v>159</v>
      </c>
      <c r="F302" s="7"/>
      <c r="G302" s="7" t="s">
        <v>16</v>
      </c>
      <c r="H302" s="7" t="s">
        <v>208</v>
      </c>
      <c r="I302" s="7" t="s">
        <v>93</v>
      </c>
      <c r="J302" s="7" t="s">
        <v>50</v>
      </c>
      <c r="K302" s="7" t="s">
        <v>205</v>
      </c>
      <c r="L302" s="22" t="n">
        <v>10378</v>
      </c>
      <c r="M302" s="7" t="s">
        <v>209</v>
      </c>
      <c r="N302" s="3"/>
      <c r="O302" s="3"/>
      <c r="P302" s="3"/>
    </row>
    <row r="303" customFormat="false" ht="15.75" hidden="false" customHeight="true" outlineLevel="0" collapsed="false">
      <c r="A303" s="7" t="s">
        <v>506</v>
      </c>
      <c r="B303" s="8" t="n">
        <v>45814</v>
      </c>
      <c r="C303" s="7" t="s">
        <v>161</v>
      </c>
      <c r="D303" s="7" t="s">
        <v>158</v>
      </c>
      <c r="E303" s="7" t="s">
        <v>159</v>
      </c>
      <c r="F303" s="7"/>
      <c r="G303" s="7" t="s">
        <v>16</v>
      </c>
      <c r="H303" s="7" t="s">
        <v>185</v>
      </c>
      <c r="I303" s="7" t="s">
        <v>93</v>
      </c>
      <c r="J303" s="7" t="s">
        <v>50</v>
      </c>
      <c r="K303" s="7" t="s">
        <v>205</v>
      </c>
      <c r="L303" s="22" t="n">
        <v>16330</v>
      </c>
      <c r="M303" s="7" t="s">
        <v>206</v>
      </c>
      <c r="N303" s="3"/>
      <c r="O303" s="3"/>
      <c r="P303" s="3"/>
    </row>
    <row r="304" customFormat="false" ht="15.75" hidden="false" customHeight="true" outlineLevel="0" collapsed="false">
      <c r="A304" s="7" t="s">
        <v>507</v>
      </c>
      <c r="B304" s="8" t="n">
        <v>45827</v>
      </c>
      <c r="C304" s="7" t="s">
        <v>161</v>
      </c>
      <c r="D304" s="7" t="s">
        <v>158</v>
      </c>
      <c r="E304" s="7" t="s">
        <v>159</v>
      </c>
      <c r="F304" s="7"/>
      <c r="G304" s="7" t="s">
        <v>16</v>
      </c>
      <c r="H304" s="7" t="s">
        <v>185</v>
      </c>
      <c r="I304" s="7" t="s">
        <v>93</v>
      </c>
      <c r="J304" s="7" t="s">
        <v>50</v>
      </c>
      <c r="K304" s="7" t="s">
        <v>205</v>
      </c>
      <c r="L304" s="22" t="n">
        <v>8906</v>
      </c>
      <c r="M304" s="7" t="s">
        <v>206</v>
      </c>
      <c r="N304" s="3"/>
      <c r="O304" s="3"/>
      <c r="P304" s="3"/>
    </row>
    <row r="305" customFormat="false" ht="15.75" hidden="false" customHeight="true" outlineLevel="0" collapsed="false">
      <c r="A305" s="7" t="s">
        <v>508</v>
      </c>
      <c r="B305" s="8" t="n">
        <v>45836</v>
      </c>
      <c r="C305" s="7" t="s">
        <v>162</v>
      </c>
      <c r="D305" s="7" t="s">
        <v>158</v>
      </c>
      <c r="E305" s="7" t="s">
        <v>159</v>
      </c>
      <c r="F305" s="7"/>
      <c r="G305" s="7" t="s">
        <v>16</v>
      </c>
      <c r="H305" s="7" t="s">
        <v>211</v>
      </c>
      <c r="I305" s="7" t="s">
        <v>88</v>
      </c>
      <c r="J305" s="7" t="s">
        <v>205</v>
      </c>
      <c r="K305" s="7" t="s">
        <v>205</v>
      </c>
      <c r="L305" s="22" t="n">
        <v>0</v>
      </c>
      <c r="M305" s="7" t="s">
        <v>206</v>
      </c>
      <c r="N305" s="3"/>
      <c r="O305" s="3"/>
      <c r="P305" s="3"/>
    </row>
    <row r="306" customFormat="false" ht="15.75" hidden="false" customHeight="true" outlineLevel="0" collapsed="false">
      <c r="A306" s="7" t="s">
        <v>509</v>
      </c>
      <c r="B306" s="8" t="n">
        <v>45834</v>
      </c>
      <c r="C306" s="7" t="s">
        <v>162</v>
      </c>
      <c r="D306" s="7" t="s">
        <v>158</v>
      </c>
      <c r="E306" s="7" t="s">
        <v>159</v>
      </c>
      <c r="F306" s="7"/>
      <c r="G306" s="7" t="s">
        <v>16</v>
      </c>
      <c r="H306" s="7" t="s">
        <v>211</v>
      </c>
      <c r="I306" s="7" t="s">
        <v>93</v>
      </c>
      <c r="J306" s="7" t="s">
        <v>50</v>
      </c>
      <c r="K306" s="7" t="s">
        <v>205</v>
      </c>
      <c r="L306" s="22" t="n">
        <v>24587</v>
      </c>
      <c r="M306" s="7" t="s">
        <v>209</v>
      </c>
      <c r="N306" s="3"/>
      <c r="O306" s="3"/>
      <c r="P306" s="3"/>
    </row>
    <row r="307" customFormat="false" ht="15.75" hidden="false" customHeight="true" outlineLevel="0" collapsed="false">
      <c r="A307" s="7" t="s">
        <v>510</v>
      </c>
      <c r="B307" s="8" t="n">
        <v>45826</v>
      </c>
      <c r="C307" s="7" t="s">
        <v>161</v>
      </c>
      <c r="D307" s="7" t="s">
        <v>158</v>
      </c>
      <c r="E307" s="7" t="s">
        <v>159</v>
      </c>
      <c r="F307" s="7"/>
      <c r="G307" s="7" t="s">
        <v>16</v>
      </c>
      <c r="H307" s="7" t="s">
        <v>185</v>
      </c>
      <c r="I307" s="7" t="s">
        <v>93</v>
      </c>
      <c r="J307" s="7" t="s">
        <v>50</v>
      </c>
      <c r="K307" s="7" t="s">
        <v>205</v>
      </c>
      <c r="L307" s="22" t="n">
        <v>16327</v>
      </c>
      <c r="M307" s="7" t="s">
        <v>206</v>
      </c>
      <c r="N307" s="3"/>
      <c r="O307" s="3"/>
      <c r="P307" s="3"/>
    </row>
    <row r="308" customFormat="false" ht="15.75" hidden="false" customHeight="true" outlineLevel="0" collapsed="false">
      <c r="A308" s="7" t="s">
        <v>511</v>
      </c>
      <c r="B308" s="8" t="n">
        <v>45818</v>
      </c>
      <c r="C308" s="7" t="s">
        <v>163</v>
      </c>
      <c r="D308" s="7" t="s">
        <v>158</v>
      </c>
      <c r="E308" s="7" t="s">
        <v>159</v>
      </c>
      <c r="F308" s="7"/>
      <c r="G308" s="7" t="s">
        <v>16</v>
      </c>
      <c r="H308" s="7" t="s">
        <v>208</v>
      </c>
      <c r="I308" s="7" t="s">
        <v>93</v>
      </c>
      <c r="J308" s="7" t="s">
        <v>50</v>
      </c>
      <c r="K308" s="7" t="s">
        <v>205</v>
      </c>
      <c r="L308" s="22" t="n">
        <v>17149</v>
      </c>
      <c r="M308" s="7" t="s">
        <v>206</v>
      </c>
      <c r="N308" s="3"/>
      <c r="O308" s="3"/>
      <c r="P308" s="3"/>
    </row>
    <row r="309" customFormat="false" ht="15.75" hidden="false" customHeight="true" outlineLevel="0" collapsed="false">
      <c r="A309" s="7" t="s">
        <v>512</v>
      </c>
      <c r="B309" s="8" t="n">
        <v>45823</v>
      </c>
      <c r="C309" s="7" t="s">
        <v>157</v>
      </c>
      <c r="D309" s="7" t="s">
        <v>158</v>
      </c>
      <c r="E309" s="7" t="s">
        <v>159</v>
      </c>
      <c r="F309" s="7"/>
      <c r="G309" s="7" t="s">
        <v>16</v>
      </c>
      <c r="H309" s="7" t="s">
        <v>183</v>
      </c>
      <c r="I309" s="7" t="s">
        <v>93</v>
      </c>
      <c r="J309" s="7" t="s">
        <v>50</v>
      </c>
      <c r="K309" s="7" t="s">
        <v>205</v>
      </c>
      <c r="L309" s="22" t="n">
        <v>13918</v>
      </c>
      <c r="M309" s="7" t="s">
        <v>209</v>
      </c>
      <c r="N309" s="3"/>
      <c r="O309" s="3"/>
      <c r="P309" s="3"/>
    </row>
    <row r="310" customFormat="false" ht="15.75" hidden="false" customHeight="true" outlineLevel="0" collapsed="false">
      <c r="A310" s="7" t="s">
        <v>513</v>
      </c>
      <c r="B310" s="8" t="n">
        <v>45833</v>
      </c>
      <c r="C310" s="7" t="s">
        <v>157</v>
      </c>
      <c r="D310" s="7" t="s">
        <v>158</v>
      </c>
      <c r="E310" s="7" t="s">
        <v>159</v>
      </c>
      <c r="F310" s="7"/>
      <c r="G310" s="7" t="s">
        <v>16</v>
      </c>
      <c r="H310" s="7" t="s">
        <v>183</v>
      </c>
      <c r="I310" s="7" t="s">
        <v>88</v>
      </c>
      <c r="J310" s="7" t="s">
        <v>205</v>
      </c>
      <c r="K310" s="7" t="s">
        <v>205</v>
      </c>
      <c r="L310" s="22" t="n">
        <v>0</v>
      </c>
      <c r="M310" s="7" t="s">
        <v>209</v>
      </c>
      <c r="N310" s="3"/>
      <c r="O310" s="3"/>
      <c r="P310" s="3"/>
    </row>
    <row r="311" customFormat="false" ht="15.75" hidden="false" customHeight="true" outlineLevel="0" collapsed="false">
      <c r="A311" s="7" t="s">
        <v>514</v>
      </c>
      <c r="B311" s="8" t="n">
        <v>45809</v>
      </c>
      <c r="C311" s="7" t="s">
        <v>157</v>
      </c>
      <c r="D311" s="7" t="s">
        <v>158</v>
      </c>
      <c r="E311" s="7" t="s">
        <v>159</v>
      </c>
      <c r="F311" s="7"/>
      <c r="G311" s="7" t="s">
        <v>16</v>
      </c>
      <c r="H311" s="7" t="s">
        <v>183</v>
      </c>
      <c r="I311" s="7" t="s">
        <v>93</v>
      </c>
      <c r="J311" s="7" t="s">
        <v>50</v>
      </c>
      <c r="K311" s="7" t="s">
        <v>205</v>
      </c>
      <c r="L311" s="22" t="n">
        <v>15591</v>
      </c>
      <c r="M311" s="7" t="s">
        <v>209</v>
      </c>
      <c r="N311" s="3"/>
      <c r="O311" s="3"/>
      <c r="P311" s="3"/>
    </row>
    <row r="312" customFormat="false" ht="15.75" hidden="false" customHeight="true" outlineLevel="0" collapsed="false">
      <c r="A312" s="7" t="s">
        <v>515</v>
      </c>
      <c r="B312" s="8" t="n">
        <v>45837</v>
      </c>
      <c r="C312" s="7" t="s">
        <v>161</v>
      </c>
      <c r="D312" s="7" t="s">
        <v>158</v>
      </c>
      <c r="E312" s="7" t="s">
        <v>159</v>
      </c>
      <c r="F312" s="7"/>
      <c r="G312" s="7" t="s">
        <v>16</v>
      </c>
      <c r="H312" s="7" t="s">
        <v>185</v>
      </c>
      <c r="I312" s="7" t="s">
        <v>93</v>
      </c>
      <c r="J312" s="7" t="s">
        <v>50</v>
      </c>
      <c r="K312" s="7" t="s">
        <v>205</v>
      </c>
      <c r="L312" s="22" t="n">
        <v>19579</v>
      </c>
      <c r="M312" s="7" t="s">
        <v>209</v>
      </c>
      <c r="N312" s="3"/>
      <c r="O312" s="3"/>
      <c r="P312" s="3"/>
    </row>
    <row r="313" customFormat="false" ht="15.75" hidden="false" customHeight="true" outlineLevel="0" collapsed="false">
      <c r="A313" s="7" t="s">
        <v>516</v>
      </c>
      <c r="B313" s="8" t="n">
        <v>45833</v>
      </c>
      <c r="C313" s="7" t="s">
        <v>157</v>
      </c>
      <c r="D313" s="7" t="s">
        <v>158</v>
      </c>
      <c r="E313" s="7" t="s">
        <v>159</v>
      </c>
      <c r="F313" s="7"/>
      <c r="G313" s="7" t="s">
        <v>16</v>
      </c>
      <c r="H313" s="7" t="s">
        <v>183</v>
      </c>
      <c r="I313" s="7" t="s">
        <v>93</v>
      </c>
      <c r="J313" s="7" t="s">
        <v>50</v>
      </c>
      <c r="K313" s="7" t="s">
        <v>205</v>
      </c>
      <c r="L313" s="22" t="n">
        <v>19512</v>
      </c>
      <c r="M313" s="7" t="s">
        <v>206</v>
      </c>
      <c r="N313" s="3"/>
      <c r="O313" s="3"/>
      <c r="P313" s="3"/>
    </row>
    <row r="314" customFormat="false" ht="15.75" hidden="false" customHeight="true" outlineLevel="0" collapsed="false">
      <c r="A314" s="7" t="s">
        <v>517</v>
      </c>
      <c r="B314" s="8" t="n">
        <v>45835</v>
      </c>
      <c r="C314" s="7" t="s">
        <v>163</v>
      </c>
      <c r="D314" s="7" t="s">
        <v>158</v>
      </c>
      <c r="E314" s="7" t="s">
        <v>159</v>
      </c>
      <c r="F314" s="7"/>
      <c r="G314" s="7" t="s">
        <v>16</v>
      </c>
      <c r="H314" s="7" t="s">
        <v>208</v>
      </c>
      <c r="I314" s="7" t="s">
        <v>93</v>
      </c>
      <c r="J314" s="7" t="s">
        <v>50</v>
      </c>
      <c r="K314" s="7" t="s">
        <v>205</v>
      </c>
      <c r="L314" s="22" t="n">
        <v>9022</v>
      </c>
      <c r="M314" s="7" t="s">
        <v>209</v>
      </c>
      <c r="N314" s="3"/>
      <c r="O314" s="3"/>
      <c r="P314" s="3"/>
    </row>
    <row r="315" customFormat="false" ht="15.75" hidden="false" customHeight="true" outlineLevel="0" collapsed="false">
      <c r="A315" s="7" t="s">
        <v>518</v>
      </c>
      <c r="B315" s="8" t="n">
        <v>45824</v>
      </c>
      <c r="C315" s="7" t="s">
        <v>163</v>
      </c>
      <c r="D315" s="7" t="s">
        <v>158</v>
      </c>
      <c r="E315" s="7" t="s">
        <v>159</v>
      </c>
      <c r="F315" s="7"/>
      <c r="G315" s="7" t="s">
        <v>16</v>
      </c>
      <c r="H315" s="7" t="s">
        <v>208</v>
      </c>
      <c r="I315" s="7" t="s">
        <v>88</v>
      </c>
      <c r="J315" s="7" t="s">
        <v>205</v>
      </c>
      <c r="K315" s="7" t="s">
        <v>205</v>
      </c>
      <c r="L315" s="22" t="n">
        <v>0</v>
      </c>
      <c r="M315" s="7" t="s">
        <v>206</v>
      </c>
      <c r="N315" s="3"/>
      <c r="O315" s="3"/>
      <c r="P315" s="3"/>
    </row>
    <row r="316" customFormat="false" ht="15.75" hidden="false" customHeight="true" outlineLevel="0" collapsed="false">
      <c r="A316" s="7" t="s">
        <v>519</v>
      </c>
      <c r="B316" s="8" t="n">
        <v>45828</v>
      </c>
      <c r="C316" s="7" t="s">
        <v>157</v>
      </c>
      <c r="D316" s="7" t="s">
        <v>158</v>
      </c>
      <c r="E316" s="7" t="s">
        <v>159</v>
      </c>
      <c r="F316" s="7"/>
      <c r="G316" s="7" t="s">
        <v>16</v>
      </c>
      <c r="H316" s="7" t="s">
        <v>183</v>
      </c>
      <c r="I316" s="7" t="s">
        <v>88</v>
      </c>
      <c r="J316" s="7" t="s">
        <v>205</v>
      </c>
      <c r="K316" s="7" t="s">
        <v>205</v>
      </c>
      <c r="L316" s="22" t="n">
        <v>0</v>
      </c>
      <c r="M316" s="7" t="s">
        <v>209</v>
      </c>
      <c r="N316" s="3"/>
      <c r="O316" s="3"/>
      <c r="P316" s="3"/>
    </row>
    <row r="317" customFormat="false" ht="15.75" hidden="false" customHeight="true" outlineLevel="0" collapsed="false">
      <c r="A317" s="7" t="s">
        <v>520</v>
      </c>
      <c r="B317" s="8" t="n">
        <v>45832</v>
      </c>
      <c r="C317" s="7" t="s">
        <v>157</v>
      </c>
      <c r="D317" s="7" t="s">
        <v>158</v>
      </c>
      <c r="E317" s="7" t="s">
        <v>159</v>
      </c>
      <c r="F317" s="7"/>
      <c r="G317" s="7" t="s">
        <v>16</v>
      </c>
      <c r="H317" s="7" t="s">
        <v>183</v>
      </c>
      <c r="I317" s="7" t="s">
        <v>93</v>
      </c>
      <c r="J317" s="7" t="s">
        <v>50</v>
      </c>
      <c r="K317" s="7" t="s">
        <v>205</v>
      </c>
      <c r="L317" s="22" t="n">
        <v>22956</v>
      </c>
      <c r="M317" s="7" t="s">
        <v>209</v>
      </c>
      <c r="N317" s="3"/>
      <c r="O317" s="3"/>
      <c r="P317" s="3"/>
    </row>
    <row r="318" customFormat="false" ht="15.75" hidden="false" customHeight="true" outlineLevel="0" collapsed="false">
      <c r="A318" s="7" t="s">
        <v>521</v>
      </c>
      <c r="B318" s="8" t="n">
        <v>45825</v>
      </c>
      <c r="C318" s="7" t="s">
        <v>162</v>
      </c>
      <c r="D318" s="7" t="s">
        <v>158</v>
      </c>
      <c r="E318" s="7" t="s">
        <v>159</v>
      </c>
      <c r="F318" s="7"/>
      <c r="G318" s="7" t="s">
        <v>16</v>
      </c>
      <c r="H318" s="7" t="s">
        <v>211</v>
      </c>
      <c r="I318" s="7" t="s">
        <v>107</v>
      </c>
      <c r="J318" s="7" t="s">
        <v>50</v>
      </c>
      <c r="K318" s="7" t="s">
        <v>50</v>
      </c>
      <c r="L318" s="22" t="n">
        <v>18212</v>
      </c>
      <c r="M318" s="7" t="s">
        <v>206</v>
      </c>
      <c r="N318" s="3"/>
      <c r="O318" s="3"/>
      <c r="P318" s="3"/>
    </row>
    <row r="319" customFormat="false" ht="15.75" hidden="false" customHeight="true" outlineLevel="0" collapsed="false">
      <c r="A319" s="7" t="s">
        <v>522</v>
      </c>
      <c r="B319" s="8" t="n">
        <v>45831</v>
      </c>
      <c r="C319" s="7" t="s">
        <v>162</v>
      </c>
      <c r="D319" s="7" t="s">
        <v>158</v>
      </c>
      <c r="E319" s="7" t="s">
        <v>159</v>
      </c>
      <c r="F319" s="7"/>
      <c r="G319" s="7" t="s">
        <v>16</v>
      </c>
      <c r="H319" s="7" t="s">
        <v>211</v>
      </c>
      <c r="I319" s="7" t="s">
        <v>107</v>
      </c>
      <c r="J319" s="7" t="s">
        <v>50</v>
      </c>
      <c r="K319" s="7" t="s">
        <v>50</v>
      </c>
      <c r="L319" s="22" t="n">
        <v>14844</v>
      </c>
      <c r="M319" s="7" t="s">
        <v>206</v>
      </c>
      <c r="N319" s="3"/>
      <c r="O319" s="3"/>
      <c r="P319" s="3"/>
    </row>
    <row r="320" customFormat="false" ht="15.75" hidden="false" customHeight="true" outlineLevel="0" collapsed="false">
      <c r="A320" s="7" t="s">
        <v>523</v>
      </c>
      <c r="B320" s="8" t="n">
        <v>45828</v>
      </c>
      <c r="C320" s="7" t="s">
        <v>163</v>
      </c>
      <c r="D320" s="7" t="s">
        <v>158</v>
      </c>
      <c r="E320" s="7" t="s">
        <v>159</v>
      </c>
      <c r="F320" s="7"/>
      <c r="G320" s="7" t="s">
        <v>16</v>
      </c>
      <c r="H320" s="7" t="s">
        <v>208</v>
      </c>
      <c r="I320" s="7" t="s">
        <v>93</v>
      </c>
      <c r="J320" s="7" t="s">
        <v>50</v>
      </c>
      <c r="K320" s="7" t="s">
        <v>205</v>
      </c>
      <c r="L320" s="22" t="n">
        <v>19351</v>
      </c>
      <c r="M320" s="7" t="s">
        <v>206</v>
      </c>
      <c r="N320" s="3"/>
      <c r="O320" s="3"/>
      <c r="P320" s="3"/>
    </row>
    <row r="321" customFormat="false" ht="15.75" hidden="false" customHeight="true" outlineLevel="0" collapsed="false">
      <c r="A321" s="7" t="s">
        <v>524</v>
      </c>
      <c r="B321" s="8" t="n">
        <v>45838</v>
      </c>
      <c r="C321" s="7" t="s">
        <v>163</v>
      </c>
      <c r="D321" s="7" t="s">
        <v>158</v>
      </c>
      <c r="E321" s="7" t="s">
        <v>159</v>
      </c>
      <c r="F321" s="7"/>
      <c r="G321" s="7" t="s">
        <v>16</v>
      </c>
      <c r="H321" s="7" t="s">
        <v>208</v>
      </c>
      <c r="I321" s="7" t="s">
        <v>88</v>
      </c>
      <c r="J321" s="7" t="s">
        <v>205</v>
      </c>
      <c r="K321" s="7" t="s">
        <v>205</v>
      </c>
      <c r="L321" s="22" t="n">
        <v>0</v>
      </c>
      <c r="M321" s="7" t="s">
        <v>206</v>
      </c>
      <c r="N321" s="3"/>
      <c r="O321" s="3"/>
      <c r="P321" s="3"/>
    </row>
    <row r="322" customFormat="false" ht="15.75" hidden="false" customHeight="true" outlineLevel="0" collapsed="false">
      <c r="A322" s="7" t="s">
        <v>525</v>
      </c>
      <c r="B322" s="8" t="n">
        <v>45826</v>
      </c>
      <c r="C322" s="7" t="s">
        <v>163</v>
      </c>
      <c r="D322" s="7" t="s">
        <v>158</v>
      </c>
      <c r="E322" s="7" t="s">
        <v>159</v>
      </c>
      <c r="F322" s="7"/>
      <c r="G322" s="7" t="s">
        <v>16</v>
      </c>
      <c r="H322" s="7" t="s">
        <v>208</v>
      </c>
      <c r="I322" s="7" t="s">
        <v>93</v>
      </c>
      <c r="J322" s="7" t="s">
        <v>50</v>
      </c>
      <c r="K322" s="7" t="s">
        <v>205</v>
      </c>
      <c r="L322" s="22" t="n">
        <v>24561</v>
      </c>
      <c r="M322" s="7" t="s">
        <v>209</v>
      </c>
      <c r="N322" s="3"/>
      <c r="O322" s="3"/>
      <c r="P322" s="3"/>
    </row>
    <row r="323" customFormat="false" ht="15.75" hidden="false" customHeight="true" outlineLevel="0" collapsed="false">
      <c r="A323" s="7" t="s">
        <v>526</v>
      </c>
      <c r="B323" s="8" t="n">
        <v>45831</v>
      </c>
      <c r="C323" s="7" t="s">
        <v>163</v>
      </c>
      <c r="D323" s="7" t="s">
        <v>158</v>
      </c>
      <c r="E323" s="7" t="s">
        <v>159</v>
      </c>
      <c r="F323" s="7"/>
      <c r="G323" s="7" t="s">
        <v>16</v>
      </c>
      <c r="H323" s="7" t="s">
        <v>208</v>
      </c>
      <c r="I323" s="7" t="s">
        <v>93</v>
      </c>
      <c r="J323" s="7" t="s">
        <v>50</v>
      </c>
      <c r="K323" s="7" t="s">
        <v>205</v>
      </c>
      <c r="L323" s="22" t="n">
        <v>23482</v>
      </c>
      <c r="M323" s="7" t="s">
        <v>206</v>
      </c>
      <c r="N323" s="3"/>
      <c r="O323" s="3"/>
      <c r="P323" s="3"/>
    </row>
    <row r="324" customFormat="false" ht="15.75" hidden="false" customHeight="true" outlineLevel="0" collapsed="false">
      <c r="A324" s="7" t="s">
        <v>527</v>
      </c>
      <c r="B324" s="8" t="n">
        <v>45815</v>
      </c>
      <c r="C324" s="7" t="s">
        <v>157</v>
      </c>
      <c r="D324" s="7" t="s">
        <v>158</v>
      </c>
      <c r="E324" s="7" t="s">
        <v>159</v>
      </c>
      <c r="F324" s="7"/>
      <c r="G324" s="7" t="s">
        <v>16</v>
      </c>
      <c r="H324" s="7" t="s">
        <v>183</v>
      </c>
      <c r="I324" s="7" t="s">
        <v>93</v>
      </c>
      <c r="J324" s="7" t="s">
        <v>50</v>
      </c>
      <c r="K324" s="7" t="s">
        <v>205</v>
      </c>
      <c r="L324" s="22" t="n">
        <v>15416</v>
      </c>
      <c r="M324" s="7" t="s">
        <v>209</v>
      </c>
      <c r="N324" s="3"/>
      <c r="O324" s="3"/>
      <c r="P324" s="3"/>
    </row>
    <row r="325" customFormat="false" ht="15.75" hidden="false" customHeight="true" outlineLevel="0" collapsed="false">
      <c r="A325" s="7" t="s">
        <v>528</v>
      </c>
      <c r="B325" s="8" t="n">
        <v>45837</v>
      </c>
      <c r="C325" s="7" t="s">
        <v>161</v>
      </c>
      <c r="D325" s="7" t="s">
        <v>158</v>
      </c>
      <c r="E325" s="7" t="s">
        <v>159</v>
      </c>
      <c r="F325" s="7"/>
      <c r="G325" s="7" t="s">
        <v>16</v>
      </c>
      <c r="H325" s="7" t="s">
        <v>185</v>
      </c>
      <c r="I325" s="7" t="s">
        <v>88</v>
      </c>
      <c r="J325" s="7" t="s">
        <v>205</v>
      </c>
      <c r="K325" s="7" t="s">
        <v>205</v>
      </c>
      <c r="L325" s="22" t="n">
        <v>0</v>
      </c>
      <c r="M325" s="7" t="s">
        <v>206</v>
      </c>
      <c r="N325" s="3"/>
      <c r="O325" s="3"/>
      <c r="P325" s="3"/>
    </row>
    <row r="326" customFormat="false" ht="15.75" hidden="false" customHeight="true" outlineLevel="0" collapsed="false">
      <c r="A326" s="7" t="s">
        <v>529</v>
      </c>
      <c r="B326" s="8" t="n">
        <v>45811</v>
      </c>
      <c r="C326" s="7" t="s">
        <v>157</v>
      </c>
      <c r="D326" s="7" t="s">
        <v>158</v>
      </c>
      <c r="E326" s="7" t="s">
        <v>159</v>
      </c>
      <c r="F326" s="7"/>
      <c r="G326" s="7" t="s">
        <v>16</v>
      </c>
      <c r="H326" s="7" t="s">
        <v>183</v>
      </c>
      <c r="I326" s="7" t="s">
        <v>93</v>
      </c>
      <c r="J326" s="7" t="s">
        <v>50</v>
      </c>
      <c r="K326" s="7" t="s">
        <v>205</v>
      </c>
      <c r="L326" s="22" t="n">
        <v>23942</v>
      </c>
      <c r="M326" s="7" t="s">
        <v>209</v>
      </c>
      <c r="N326" s="3"/>
      <c r="O326" s="3"/>
      <c r="P326" s="3"/>
    </row>
    <row r="327" customFormat="false" ht="15.75" hidden="false" customHeight="true" outlineLevel="0" collapsed="false">
      <c r="A327" s="7" t="s">
        <v>530</v>
      </c>
      <c r="B327" s="8" t="n">
        <v>45825</v>
      </c>
      <c r="C327" s="7" t="s">
        <v>162</v>
      </c>
      <c r="D327" s="7" t="s">
        <v>158</v>
      </c>
      <c r="E327" s="7" t="s">
        <v>159</v>
      </c>
      <c r="F327" s="7"/>
      <c r="G327" s="7" t="s">
        <v>16</v>
      </c>
      <c r="H327" s="7" t="s">
        <v>211</v>
      </c>
      <c r="I327" s="7" t="s">
        <v>107</v>
      </c>
      <c r="J327" s="7" t="s">
        <v>50</v>
      </c>
      <c r="K327" s="7" t="s">
        <v>50</v>
      </c>
      <c r="L327" s="22" t="n">
        <v>13696</v>
      </c>
      <c r="M327" s="7" t="s">
        <v>206</v>
      </c>
      <c r="N327" s="3"/>
      <c r="O327" s="3"/>
      <c r="P327" s="3"/>
    </row>
    <row r="328" customFormat="false" ht="15.75" hidden="false" customHeight="true" outlineLevel="0" collapsed="false">
      <c r="A328" s="7" t="s">
        <v>531</v>
      </c>
      <c r="B328" s="8" t="n">
        <v>45835</v>
      </c>
      <c r="C328" s="7" t="s">
        <v>162</v>
      </c>
      <c r="D328" s="7" t="s">
        <v>158</v>
      </c>
      <c r="E328" s="7" t="s">
        <v>159</v>
      </c>
      <c r="F328" s="7"/>
      <c r="G328" s="7" t="s">
        <v>16</v>
      </c>
      <c r="H328" s="7" t="s">
        <v>211</v>
      </c>
      <c r="I328" s="7" t="s">
        <v>88</v>
      </c>
      <c r="J328" s="7" t="s">
        <v>205</v>
      </c>
      <c r="K328" s="7" t="s">
        <v>205</v>
      </c>
      <c r="L328" s="22" t="n">
        <v>0</v>
      </c>
      <c r="M328" s="7" t="s">
        <v>209</v>
      </c>
      <c r="N328" s="3"/>
      <c r="O328" s="3"/>
      <c r="P328" s="3"/>
    </row>
    <row r="329" customFormat="false" ht="15.75" hidden="false" customHeight="true" outlineLevel="0" collapsed="false">
      <c r="A329" s="7" t="s">
        <v>532</v>
      </c>
      <c r="B329" s="8" t="n">
        <v>45818</v>
      </c>
      <c r="C329" s="7" t="s">
        <v>157</v>
      </c>
      <c r="D329" s="7" t="s">
        <v>158</v>
      </c>
      <c r="E329" s="7" t="s">
        <v>159</v>
      </c>
      <c r="F329" s="7"/>
      <c r="G329" s="7" t="s">
        <v>16</v>
      </c>
      <c r="H329" s="7" t="s">
        <v>183</v>
      </c>
      <c r="I329" s="7" t="s">
        <v>88</v>
      </c>
      <c r="J329" s="7" t="s">
        <v>205</v>
      </c>
      <c r="K329" s="7" t="s">
        <v>205</v>
      </c>
      <c r="L329" s="22" t="n">
        <v>0</v>
      </c>
      <c r="M329" s="7" t="s">
        <v>209</v>
      </c>
      <c r="N329" s="3"/>
      <c r="O329" s="3"/>
      <c r="P329" s="3"/>
    </row>
    <row r="330" customFormat="false" ht="15.75" hidden="false" customHeight="true" outlineLevel="0" collapsed="false">
      <c r="A330" s="7" t="s">
        <v>533</v>
      </c>
      <c r="B330" s="8" t="n">
        <v>45817</v>
      </c>
      <c r="C330" s="7" t="s">
        <v>162</v>
      </c>
      <c r="D330" s="7" t="s">
        <v>158</v>
      </c>
      <c r="E330" s="7" t="s">
        <v>159</v>
      </c>
      <c r="F330" s="7"/>
      <c r="G330" s="7" t="s">
        <v>16</v>
      </c>
      <c r="H330" s="7" t="s">
        <v>211</v>
      </c>
      <c r="I330" s="7" t="s">
        <v>107</v>
      </c>
      <c r="J330" s="7" t="s">
        <v>50</v>
      </c>
      <c r="K330" s="7" t="s">
        <v>50</v>
      </c>
      <c r="L330" s="22" t="n">
        <v>20663</v>
      </c>
      <c r="M330" s="7" t="s">
        <v>209</v>
      </c>
      <c r="N330" s="3"/>
      <c r="O330" s="3"/>
      <c r="P330" s="3"/>
    </row>
    <row r="331" customFormat="false" ht="15.75" hidden="false" customHeight="true" outlineLevel="0" collapsed="false">
      <c r="A331" s="7" t="s">
        <v>534</v>
      </c>
      <c r="B331" s="8" t="n">
        <v>45835</v>
      </c>
      <c r="C331" s="7" t="s">
        <v>161</v>
      </c>
      <c r="D331" s="7" t="s">
        <v>158</v>
      </c>
      <c r="E331" s="7" t="s">
        <v>159</v>
      </c>
      <c r="F331" s="7"/>
      <c r="G331" s="7" t="s">
        <v>16</v>
      </c>
      <c r="H331" s="7" t="s">
        <v>185</v>
      </c>
      <c r="I331" s="7" t="s">
        <v>93</v>
      </c>
      <c r="J331" s="7" t="s">
        <v>50</v>
      </c>
      <c r="K331" s="7" t="s">
        <v>205</v>
      </c>
      <c r="L331" s="22" t="n">
        <v>16956</v>
      </c>
      <c r="M331" s="7" t="s">
        <v>209</v>
      </c>
      <c r="N331" s="3"/>
      <c r="O331" s="3"/>
      <c r="P331" s="3"/>
    </row>
    <row r="332" customFormat="false" ht="15.75" hidden="false" customHeight="true" outlineLevel="0" collapsed="false">
      <c r="A332" s="7" t="s">
        <v>535</v>
      </c>
      <c r="B332" s="8" t="n">
        <v>45811</v>
      </c>
      <c r="C332" s="7" t="s">
        <v>157</v>
      </c>
      <c r="D332" s="7" t="s">
        <v>158</v>
      </c>
      <c r="E332" s="7" t="s">
        <v>159</v>
      </c>
      <c r="F332" s="7"/>
      <c r="G332" s="7" t="s">
        <v>16</v>
      </c>
      <c r="H332" s="7" t="s">
        <v>183</v>
      </c>
      <c r="I332" s="7" t="s">
        <v>93</v>
      </c>
      <c r="J332" s="7" t="s">
        <v>50</v>
      </c>
      <c r="K332" s="7" t="s">
        <v>205</v>
      </c>
      <c r="L332" s="22" t="n">
        <v>19239</v>
      </c>
      <c r="M332" s="7" t="s">
        <v>206</v>
      </c>
      <c r="N332" s="3"/>
      <c r="O332" s="3"/>
      <c r="P332" s="3"/>
    </row>
    <row r="333" customFormat="false" ht="15.75" hidden="false" customHeight="true" outlineLevel="0" collapsed="false">
      <c r="A333" s="7" t="s">
        <v>536</v>
      </c>
      <c r="B333" s="8" t="n">
        <v>45824</v>
      </c>
      <c r="C333" s="7" t="s">
        <v>157</v>
      </c>
      <c r="D333" s="7" t="s">
        <v>158</v>
      </c>
      <c r="E333" s="7" t="s">
        <v>159</v>
      </c>
      <c r="F333" s="7"/>
      <c r="G333" s="7" t="s">
        <v>16</v>
      </c>
      <c r="H333" s="7" t="s">
        <v>183</v>
      </c>
      <c r="I333" s="7" t="s">
        <v>93</v>
      </c>
      <c r="J333" s="7" t="s">
        <v>50</v>
      </c>
      <c r="K333" s="7" t="s">
        <v>205</v>
      </c>
      <c r="L333" s="22" t="n">
        <v>12884</v>
      </c>
      <c r="M333" s="7" t="s">
        <v>206</v>
      </c>
      <c r="N333" s="3"/>
      <c r="O333" s="3"/>
      <c r="P333" s="3"/>
    </row>
    <row r="334" customFormat="false" ht="15.75" hidden="false" customHeight="true" outlineLevel="0" collapsed="false">
      <c r="A334" s="7" t="s">
        <v>537</v>
      </c>
      <c r="B334" s="8" t="n">
        <v>45823</v>
      </c>
      <c r="C334" s="7" t="s">
        <v>157</v>
      </c>
      <c r="D334" s="7" t="s">
        <v>158</v>
      </c>
      <c r="E334" s="7" t="s">
        <v>159</v>
      </c>
      <c r="F334" s="7"/>
      <c r="G334" s="7" t="s">
        <v>16</v>
      </c>
      <c r="H334" s="7" t="s">
        <v>183</v>
      </c>
      <c r="I334" s="7" t="s">
        <v>88</v>
      </c>
      <c r="J334" s="7" t="s">
        <v>205</v>
      </c>
      <c r="K334" s="7" t="s">
        <v>205</v>
      </c>
      <c r="L334" s="22" t="n">
        <v>0</v>
      </c>
      <c r="M334" s="7" t="s">
        <v>209</v>
      </c>
      <c r="N334" s="3"/>
      <c r="O334" s="3"/>
      <c r="P334" s="3"/>
    </row>
    <row r="335" customFormat="false" ht="15.75" hidden="false" customHeight="true" outlineLevel="0" collapsed="false">
      <c r="A335" s="7" t="s">
        <v>538</v>
      </c>
      <c r="B335" s="8" t="n">
        <v>45830</v>
      </c>
      <c r="C335" s="7" t="s">
        <v>157</v>
      </c>
      <c r="D335" s="7" t="s">
        <v>158</v>
      </c>
      <c r="E335" s="7" t="s">
        <v>159</v>
      </c>
      <c r="F335" s="7"/>
      <c r="G335" s="7" t="s">
        <v>16</v>
      </c>
      <c r="H335" s="7" t="s">
        <v>183</v>
      </c>
      <c r="I335" s="7" t="s">
        <v>107</v>
      </c>
      <c r="J335" s="7" t="s">
        <v>50</v>
      </c>
      <c r="K335" s="7" t="s">
        <v>50</v>
      </c>
      <c r="L335" s="22" t="n">
        <v>18507</v>
      </c>
      <c r="M335" s="7" t="s">
        <v>206</v>
      </c>
      <c r="N335" s="3"/>
      <c r="O335" s="3"/>
      <c r="P335" s="3"/>
    </row>
    <row r="336" customFormat="false" ht="15.7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</row>
    <row r="337" customFormat="false" ht="15.75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</row>
    <row r="338" customFormat="false" ht="15.7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</row>
    <row r="339" customFormat="false" ht="15.75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</row>
    <row r="340" customFormat="false" ht="15.7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</row>
    <row r="341" customFormat="false" ht="15.75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</row>
    <row r="342" customFormat="false" ht="15.7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</row>
    <row r="343" customFormat="false" ht="15.7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</row>
    <row r="344" customFormat="false" ht="15.7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</row>
    <row r="345" customFormat="false" ht="15.7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</row>
    <row r="346" customFormat="false" ht="15.7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</row>
    <row r="347" customFormat="false" ht="15.7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</row>
    <row r="348" customFormat="false" ht="15.7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</row>
    <row r="349" customFormat="false" ht="15.7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</row>
    <row r="350" customFormat="false" ht="15.7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</row>
    <row r="351" customFormat="false" ht="15.7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</row>
    <row r="352" customFormat="false" ht="15.7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</row>
    <row r="353" customFormat="false" ht="15.75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</row>
    <row r="354" customFormat="false" ht="15.7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</row>
    <row r="355" customFormat="false" ht="15.75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</row>
    <row r="356" customFormat="false" ht="15.7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</row>
    <row r="357" customFormat="false" ht="15.75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</row>
    <row r="358" customFormat="false" ht="15.7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</row>
    <row r="359" customFormat="false" ht="15.75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</row>
    <row r="360" customFormat="false" ht="15.7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</row>
    <row r="361" customFormat="false" ht="15.75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</row>
    <row r="362" customFormat="false" ht="15.7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</row>
    <row r="363" customFormat="false" ht="15.75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</row>
    <row r="364" customFormat="false" ht="15.7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</row>
    <row r="365" customFormat="false" ht="15.75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</row>
    <row r="366" customFormat="false" ht="15.7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</row>
    <row r="367" customFormat="false" ht="15.7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</row>
    <row r="368" customFormat="false" ht="15.7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</row>
    <row r="369" customFormat="false" ht="15.7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</row>
    <row r="370" customFormat="false" ht="15.7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</row>
    <row r="371" customFormat="false" ht="15.7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</row>
    <row r="372" customFormat="false" ht="15.7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</row>
    <row r="373" customFormat="false" ht="15.75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</row>
    <row r="374" customFormat="false" ht="15.7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</row>
    <row r="375" customFormat="false" ht="15.75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</row>
    <row r="376" customFormat="false" ht="15.7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</row>
    <row r="377" customFormat="false" ht="15.75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</row>
    <row r="378" customFormat="false" ht="15.7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</row>
    <row r="379" customFormat="false" ht="15.75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</row>
    <row r="380" customFormat="false" ht="15.7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</row>
    <row r="381" customFormat="false" ht="15.75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</row>
    <row r="382" customFormat="false" ht="15.7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</row>
    <row r="383" customFormat="false" ht="15.75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</row>
    <row r="384" customFormat="false" ht="15.7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</row>
    <row r="385" customFormat="false" ht="15.75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</row>
    <row r="386" customFormat="false" ht="15.7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</row>
    <row r="387" customFormat="false" ht="15.75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</row>
    <row r="388" customFormat="false" ht="15.7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</row>
    <row r="389" customFormat="false" ht="15.75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</row>
    <row r="390" customFormat="false" ht="15.7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</row>
    <row r="391" customFormat="false" ht="15.75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</row>
    <row r="392" customFormat="false" ht="15.7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</row>
    <row r="393" customFormat="false" ht="15.75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</row>
    <row r="394" customFormat="false" ht="15.7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</row>
    <row r="395" customFormat="false" ht="15.75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</row>
    <row r="396" customFormat="false" ht="15.7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</row>
    <row r="397" customFormat="false" ht="15.75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</row>
    <row r="398" customFormat="false" ht="15.7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</row>
    <row r="399" customFormat="false" ht="15.75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</row>
    <row r="400" customFormat="false" ht="15.7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</row>
    <row r="401" customFormat="false" ht="15.75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</row>
    <row r="402" customFormat="false" ht="15.7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</row>
    <row r="403" customFormat="false" ht="15.75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</row>
    <row r="404" customFormat="false" ht="15.7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</row>
    <row r="405" customFormat="false" ht="15.75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</row>
    <row r="406" customFormat="false" ht="15.7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</row>
    <row r="407" customFormat="false" ht="15.75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</row>
    <row r="408" customFormat="false" ht="15.7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</row>
    <row r="409" customFormat="false" ht="15.75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</row>
    <row r="410" customFormat="false" ht="15.7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</row>
    <row r="411" customFormat="false" ht="15.7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</row>
    <row r="412" customFormat="false" ht="15.7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</row>
    <row r="413" customFormat="false" ht="15.7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</row>
    <row r="414" customFormat="false" ht="15.7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</row>
    <row r="415" customFormat="false" ht="15.7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</row>
    <row r="416" customFormat="false" ht="15.7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</row>
    <row r="417" customFormat="false" ht="15.7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</row>
    <row r="418" customFormat="false" ht="15.7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</row>
    <row r="419" customFormat="false" ht="15.7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</row>
    <row r="420" customFormat="false" ht="15.7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</row>
    <row r="421" customFormat="false" ht="15.75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</row>
    <row r="422" customFormat="false" ht="15.7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</row>
    <row r="423" customFormat="false" ht="15.75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</row>
    <row r="424" customFormat="false" ht="15.7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</row>
    <row r="425" customFormat="false" ht="15.75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</row>
    <row r="426" customFormat="false" ht="15.7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</row>
    <row r="427" customFormat="false" ht="15.75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</row>
    <row r="428" customFormat="false" ht="15.7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</row>
    <row r="429" customFormat="false" ht="15.75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</row>
    <row r="430" customFormat="false" ht="15.7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</row>
    <row r="431" customFormat="false" ht="15.75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</row>
    <row r="432" customFormat="false" ht="15.7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</row>
    <row r="433" customFormat="false" ht="15.75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</row>
    <row r="434" customFormat="false" ht="15.7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</row>
    <row r="435" customFormat="false" ht="15.75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</row>
    <row r="436" customFormat="false" ht="15.7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</row>
    <row r="437" customFormat="false" ht="15.75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</row>
    <row r="438" customFormat="false" ht="15.7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</row>
    <row r="439" customFormat="false" ht="15.7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</row>
    <row r="440" customFormat="false" ht="15.7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</row>
    <row r="441" customFormat="false" ht="15.7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</row>
    <row r="442" customFormat="false" ht="15.7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</row>
    <row r="443" customFormat="false" ht="15.7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</row>
    <row r="444" customFormat="false" ht="15.7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</row>
    <row r="445" customFormat="false" ht="15.75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</row>
    <row r="446" customFormat="false" ht="15.7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</row>
    <row r="447" customFormat="false" ht="15.75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</row>
    <row r="448" customFormat="false" ht="15.7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</row>
    <row r="449" customFormat="false" ht="15.75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</row>
    <row r="450" customFormat="false" ht="15.7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</row>
    <row r="451" customFormat="false" ht="15.75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</row>
    <row r="452" customFormat="false" ht="15.7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</row>
    <row r="453" customFormat="false" ht="15.75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</row>
    <row r="454" customFormat="false" ht="15.7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</row>
    <row r="455" customFormat="false" ht="15.75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</row>
    <row r="456" customFormat="false" ht="15.7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</row>
    <row r="457" customFormat="false" ht="15.75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</row>
    <row r="458" customFormat="false" ht="15.7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</row>
    <row r="459" customFormat="false" ht="15.7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</row>
    <row r="460" customFormat="false" ht="15.7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</row>
    <row r="461" customFormat="false" ht="15.75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</row>
    <row r="462" customFormat="false" ht="15.7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</row>
    <row r="463" customFormat="false" ht="15.75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</row>
    <row r="464" customFormat="false" ht="15.7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</row>
    <row r="465" customFormat="false" ht="15.75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</row>
    <row r="466" customFormat="false" ht="15.7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</row>
    <row r="467" customFormat="false" ht="15.75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</row>
    <row r="468" customFormat="false" ht="15.7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</row>
    <row r="469" customFormat="false" ht="15.75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</row>
    <row r="470" customFormat="false" ht="15.7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</row>
    <row r="471" customFormat="false" ht="15.75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</row>
    <row r="472" customFormat="false" ht="15.7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</row>
    <row r="473" customFormat="false" ht="15.75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</row>
    <row r="474" customFormat="false" ht="15.7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</row>
    <row r="475" customFormat="false" ht="15.7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</row>
    <row r="476" customFormat="false" ht="15.7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</row>
    <row r="477" customFormat="false" ht="15.7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</row>
    <row r="478" customFormat="false" ht="15.7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</row>
    <row r="479" customFormat="false" ht="15.7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</row>
    <row r="480" customFormat="false" ht="15.7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</row>
    <row r="481" customFormat="false" ht="15.7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</row>
    <row r="482" customFormat="false" ht="15.7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</row>
    <row r="483" customFormat="false" ht="15.75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</row>
    <row r="484" customFormat="false" ht="15.7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</row>
    <row r="485" customFormat="false" ht="15.75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</row>
    <row r="486" customFormat="false" ht="15.7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</row>
    <row r="487" customFormat="false" ht="15.75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</row>
    <row r="488" customFormat="false" ht="15.7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</row>
    <row r="489" customFormat="false" ht="15.75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</row>
    <row r="490" customFormat="false" ht="15.7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</row>
    <row r="491" customFormat="false" ht="15.75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</row>
    <row r="492" customFormat="false" ht="15.7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</row>
    <row r="493" customFormat="false" ht="15.75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</row>
    <row r="494" customFormat="false" ht="15.7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</row>
    <row r="495" customFormat="false" ht="15.75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</row>
    <row r="496" customFormat="false" ht="15.7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</row>
    <row r="497" customFormat="false" ht="15.75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</row>
    <row r="498" customFormat="false" ht="15.7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</row>
    <row r="499" customFormat="false" ht="15.75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</row>
    <row r="500" customFormat="false" ht="15.7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</row>
    <row r="501" customFormat="false" ht="15.75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</row>
    <row r="502" customFormat="false" ht="15.7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</row>
    <row r="503" customFormat="false" ht="15.75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</row>
    <row r="504" customFormat="false" ht="15.7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</row>
    <row r="505" customFormat="false" ht="15.75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</row>
    <row r="506" customFormat="false" ht="15.7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</row>
    <row r="507" customFormat="false" ht="15.75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</row>
    <row r="508" customFormat="false" ht="15.7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</row>
    <row r="509" customFormat="false" ht="15.75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</row>
    <row r="510" customFormat="false" ht="15.7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</row>
    <row r="511" customFormat="false" ht="15.75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</row>
    <row r="512" customFormat="false" ht="15.7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</row>
    <row r="513" customFormat="false" ht="15.75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</row>
    <row r="514" customFormat="false" ht="15.7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</row>
    <row r="515" customFormat="false" ht="15.75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</row>
    <row r="516" customFormat="false" ht="15.7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</row>
    <row r="517" customFormat="false" ht="15.7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</row>
    <row r="518" customFormat="false" ht="15.7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</row>
    <row r="519" customFormat="false" ht="15.7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</row>
    <row r="520" customFormat="false" ht="15.7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</row>
    <row r="521" customFormat="false" ht="15.7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</row>
    <row r="522" customFormat="false" ht="15.7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</row>
    <row r="523" customFormat="false" ht="15.75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</row>
    <row r="524" customFormat="false" ht="15.7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</row>
    <row r="525" customFormat="false" ht="15.75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</row>
    <row r="526" customFormat="false" ht="15.7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</row>
    <row r="527" customFormat="false" ht="15.75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</row>
    <row r="528" customFormat="false" ht="15.7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</row>
    <row r="529" customFormat="false" ht="15.75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</row>
    <row r="530" customFormat="false" ht="15.7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</row>
    <row r="531" customFormat="false" ht="15.75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</row>
    <row r="532" customFormat="false" ht="15.7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</row>
    <row r="533" customFormat="false" ht="15.75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</row>
    <row r="534" customFormat="false" ht="15.7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</row>
    <row r="535" customFormat="false" ht="15.75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</row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">
    <mergeCell ref="A1:N2"/>
    <mergeCell ref="A3:N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2" min="1" style="1" width="14"/>
    <col collapsed="false" customWidth="true" hidden="false" outlineLevel="0" max="4" min="3" style="1" width="24"/>
    <col collapsed="false" customWidth="true" hidden="false" outlineLevel="0" max="6" min="5" style="1" width="12"/>
    <col collapsed="false" customWidth="true" hidden="false" outlineLevel="0" max="7" min="7" style="1" width="15"/>
    <col collapsed="false" customWidth="true" hidden="false" outlineLevel="0" max="8" min="8" style="1" width="16"/>
    <col collapsed="false" customWidth="true" hidden="false" outlineLevel="0" max="9" min="9" style="1" width="14"/>
    <col collapsed="false" customWidth="true" hidden="false" outlineLevel="0" max="10" min="10" style="1" width="16"/>
    <col collapsed="false" customWidth="true" hidden="false" outlineLevel="0" max="11" min="11" style="1" width="12"/>
    <col collapsed="false" customWidth="true" hidden="false" outlineLevel="0" max="12" min="12" style="1" width="18"/>
    <col collapsed="false" customWidth="true" hidden="false" outlineLevel="0" max="14" min="13" style="1" width="14"/>
    <col collapsed="false" customWidth="true" hidden="false" outlineLevel="0" max="15" min="15" style="1" width="13"/>
    <col collapsed="false" customWidth="true" hidden="false" outlineLevel="0" max="26" min="16" style="1" width="8.63"/>
  </cols>
  <sheetData>
    <row r="1" customFormat="false" ht="15" hidden="false" customHeight="true" outlineLevel="0" collapsed="false">
      <c r="A1" s="2" t="s">
        <v>539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5" hidden="false" customHeight="true" outlineLevel="0" collapsed="false">
      <c r="A3" s="4" t="s">
        <v>540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customFormat="false" ht="15" hidden="false" customHeight="tru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customFormat="false" ht="23.25" hidden="false" customHeight="true" outlineLevel="0" collapsed="false">
      <c r="A5" s="21" t="s">
        <v>146</v>
      </c>
      <c r="B5" s="21" t="s">
        <v>541</v>
      </c>
      <c r="C5" s="21" t="s">
        <v>542</v>
      </c>
      <c r="D5" s="21" t="s">
        <v>147</v>
      </c>
      <c r="E5" s="21" t="s">
        <v>110</v>
      </c>
      <c r="F5" s="21" t="s">
        <v>149</v>
      </c>
      <c r="G5" s="21" t="s">
        <v>543</v>
      </c>
      <c r="H5" s="21" t="s">
        <v>544</v>
      </c>
      <c r="I5" s="21" t="s">
        <v>545</v>
      </c>
      <c r="J5" s="21" t="s">
        <v>546</v>
      </c>
      <c r="K5" s="21" t="s">
        <v>547</v>
      </c>
      <c r="L5" s="21" t="s">
        <v>548</v>
      </c>
      <c r="M5" s="21" t="s">
        <v>549</v>
      </c>
      <c r="N5" s="21" t="s">
        <v>550</v>
      </c>
      <c r="O5" s="21" t="s">
        <v>551</v>
      </c>
      <c r="P5" s="3"/>
    </row>
    <row r="6" customFormat="false" ht="15" hidden="false" customHeight="true" outlineLevel="0" collapsed="false">
      <c r="A6" s="8" t="n">
        <v>46173</v>
      </c>
      <c r="B6" s="7" t="s">
        <v>552</v>
      </c>
      <c r="C6" s="7" t="s">
        <v>180</v>
      </c>
      <c r="D6" s="7" t="s">
        <v>157</v>
      </c>
      <c r="E6" s="7" t="s">
        <v>39</v>
      </c>
      <c r="F6" s="7" t="s">
        <v>165</v>
      </c>
      <c r="G6" s="7" t="n">
        <v>6</v>
      </c>
      <c r="H6" s="7" t="n">
        <v>8</v>
      </c>
      <c r="I6" s="7" t="n">
        <v>1900</v>
      </c>
      <c r="J6" s="7" t="n">
        <v>48</v>
      </c>
      <c r="K6" s="10"/>
      <c r="L6" s="7"/>
      <c r="M6" s="7"/>
      <c r="N6" s="7"/>
      <c r="O6" s="7" t="s">
        <v>205</v>
      </c>
      <c r="P6" s="3"/>
    </row>
    <row r="7" customFormat="false" ht="15" hidden="false" customHeight="true" outlineLevel="0" collapsed="false">
      <c r="A7" s="8" t="n">
        <v>46173</v>
      </c>
      <c r="B7" s="7" t="s">
        <v>552</v>
      </c>
      <c r="C7" s="7" t="s">
        <v>184</v>
      </c>
      <c r="D7" s="7" t="s">
        <v>161</v>
      </c>
      <c r="E7" s="7" t="s">
        <v>39</v>
      </c>
      <c r="F7" s="7" t="s">
        <v>165</v>
      </c>
      <c r="G7" s="7" t="n">
        <v>5</v>
      </c>
      <c r="H7" s="7" t="n">
        <v>7</v>
      </c>
      <c r="I7" s="7" t="n">
        <v>1300</v>
      </c>
      <c r="J7" s="7" t="n">
        <v>42</v>
      </c>
      <c r="K7" s="10"/>
      <c r="L7" s="7"/>
      <c r="M7" s="7"/>
      <c r="N7" s="7"/>
      <c r="O7" s="7" t="s">
        <v>205</v>
      </c>
      <c r="P7" s="3"/>
    </row>
    <row r="8" customFormat="false" ht="15" hidden="false" customHeight="true" outlineLevel="0" collapsed="false">
      <c r="A8" s="8" t="n">
        <v>46173</v>
      </c>
      <c r="B8" s="7" t="s">
        <v>552</v>
      </c>
      <c r="C8" s="7" t="s">
        <v>186</v>
      </c>
      <c r="D8" s="7" t="s">
        <v>162</v>
      </c>
      <c r="E8" s="7" t="s">
        <v>39</v>
      </c>
      <c r="F8" s="7" t="s">
        <v>165</v>
      </c>
      <c r="G8" s="7" t="n">
        <v>9</v>
      </c>
      <c r="H8" s="7" t="n">
        <v>12</v>
      </c>
      <c r="I8" s="7" t="n">
        <v>1600</v>
      </c>
      <c r="J8" s="7" t="n">
        <v>51</v>
      </c>
      <c r="K8" s="10"/>
      <c r="L8" s="7"/>
      <c r="M8" s="7"/>
      <c r="N8" s="7"/>
      <c r="O8" s="7" t="s">
        <v>205</v>
      </c>
      <c r="P8" s="3"/>
    </row>
    <row r="9" customFormat="false" ht="15" hidden="false" customHeight="true" outlineLevel="0" collapsed="false">
      <c r="A9" s="8" t="n">
        <v>46173</v>
      </c>
      <c r="B9" s="7" t="s">
        <v>552</v>
      </c>
      <c r="C9" s="7" t="s">
        <v>189</v>
      </c>
      <c r="D9" s="7" t="s">
        <v>163</v>
      </c>
      <c r="E9" s="7" t="s">
        <v>39</v>
      </c>
      <c r="F9" s="7" t="s">
        <v>165</v>
      </c>
      <c r="G9" s="7" t="n">
        <v>13</v>
      </c>
      <c r="H9" s="7" t="n">
        <v>11</v>
      </c>
      <c r="I9" s="7" t="n">
        <v>900</v>
      </c>
      <c r="J9" s="7" t="n">
        <v>39</v>
      </c>
      <c r="K9" s="10"/>
      <c r="L9" s="7"/>
      <c r="M9" s="7"/>
      <c r="N9" s="7"/>
      <c r="O9" s="7" t="s">
        <v>205</v>
      </c>
      <c r="P9" s="3"/>
    </row>
    <row r="10" customFormat="false" ht="15" hidden="false" customHeight="true" outlineLevel="0" collapsed="false">
      <c r="A10" s="8" t="n">
        <v>46173</v>
      </c>
      <c r="B10" s="7" t="s">
        <v>552</v>
      </c>
      <c r="C10" s="7" t="s">
        <v>177</v>
      </c>
      <c r="D10" s="7" t="s">
        <v>164</v>
      </c>
      <c r="E10" s="7" t="s">
        <v>39</v>
      </c>
      <c r="F10" s="7" t="s">
        <v>165</v>
      </c>
      <c r="G10" s="7" t="n">
        <v>2</v>
      </c>
      <c r="H10" s="7" t="n">
        <v>2</v>
      </c>
      <c r="I10" s="7" t="n">
        <v>2400</v>
      </c>
      <c r="J10" s="7" t="n">
        <v>20</v>
      </c>
      <c r="K10" s="10"/>
      <c r="L10" s="7"/>
      <c r="M10" s="7"/>
      <c r="N10" s="7"/>
      <c r="O10" s="7" t="s">
        <v>205</v>
      </c>
      <c r="P10" s="3"/>
    </row>
    <row r="11" customFormat="false" ht="15" hidden="false" customHeight="true" outlineLevel="0" collapsed="false">
      <c r="A11" s="8" t="n">
        <v>46173</v>
      </c>
      <c r="B11" s="7" t="s">
        <v>553</v>
      </c>
      <c r="C11" s="7" t="s">
        <v>554</v>
      </c>
      <c r="D11" s="7"/>
      <c r="E11" s="7" t="s">
        <v>39</v>
      </c>
      <c r="F11" s="7" t="s">
        <v>555</v>
      </c>
      <c r="G11" s="7"/>
      <c r="H11" s="7"/>
      <c r="I11" s="7"/>
      <c r="J11" s="7"/>
      <c r="K11" s="10" t="n">
        <v>0.1637</v>
      </c>
      <c r="L11" s="7" t="n">
        <v>990</v>
      </c>
      <c r="M11" s="7" t="n">
        <v>40</v>
      </c>
      <c r="N11" s="7" t="n">
        <v>13</v>
      </c>
      <c r="O11" s="7" t="s">
        <v>205</v>
      </c>
      <c r="P11" s="3"/>
    </row>
    <row r="12" customFormat="false" ht="15" hidden="false" customHeight="true" outlineLevel="0" collapsed="false">
      <c r="A12" s="8" t="n">
        <v>46173</v>
      </c>
      <c r="B12" s="7" t="s">
        <v>553</v>
      </c>
      <c r="C12" s="7" t="s">
        <v>556</v>
      </c>
      <c r="D12" s="7"/>
      <c r="E12" s="7" t="s">
        <v>39</v>
      </c>
      <c r="F12" s="7" t="s">
        <v>555</v>
      </c>
      <c r="G12" s="7"/>
      <c r="H12" s="7"/>
      <c r="I12" s="7"/>
      <c r="J12" s="7"/>
      <c r="K12" s="10" t="n">
        <v>0.244</v>
      </c>
      <c r="L12" s="7" t="n">
        <v>1830</v>
      </c>
      <c r="M12" s="7" t="n">
        <v>38</v>
      </c>
      <c r="N12" s="7" t="n">
        <v>16</v>
      </c>
      <c r="O12" s="7" t="s">
        <v>50</v>
      </c>
      <c r="P12" s="3"/>
    </row>
    <row r="13" customFormat="false" ht="15" hidden="false" customHeight="true" outlineLevel="0" collapsed="false">
      <c r="A13" s="8" t="n">
        <v>46173</v>
      </c>
      <c r="B13" s="7" t="s">
        <v>553</v>
      </c>
      <c r="C13" s="7" t="s">
        <v>557</v>
      </c>
      <c r="D13" s="7"/>
      <c r="E13" s="7" t="s">
        <v>39</v>
      </c>
      <c r="F13" s="7" t="s">
        <v>555</v>
      </c>
      <c r="G13" s="7"/>
      <c r="H13" s="7"/>
      <c r="I13" s="7"/>
      <c r="J13" s="7"/>
      <c r="K13" s="10" t="n">
        <v>0.207</v>
      </c>
      <c r="L13" s="7" t="n">
        <v>1560</v>
      </c>
      <c r="M13" s="7" t="n">
        <v>32</v>
      </c>
      <c r="N13" s="7" t="n">
        <v>14</v>
      </c>
      <c r="O13" s="7" t="s">
        <v>50</v>
      </c>
      <c r="P13" s="3"/>
    </row>
    <row r="14" customFormat="false" ht="15" hidden="false" customHeight="true" outlineLevel="0" collapsed="false">
      <c r="A14" s="8" t="n">
        <v>46203</v>
      </c>
      <c r="B14" s="7" t="s">
        <v>552</v>
      </c>
      <c r="C14" s="7" t="s">
        <v>180</v>
      </c>
      <c r="D14" s="7" t="s">
        <v>157</v>
      </c>
      <c r="E14" s="7" t="s">
        <v>39</v>
      </c>
      <c r="F14" s="7" t="s">
        <v>165</v>
      </c>
      <c r="G14" s="7" t="n">
        <v>5</v>
      </c>
      <c r="H14" s="7" t="n">
        <v>7</v>
      </c>
      <c r="I14" s="7" t="n">
        <v>1900</v>
      </c>
      <c r="J14" s="7" t="n">
        <v>48</v>
      </c>
      <c r="K14" s="10"/>
      <c r="L14" s="7"/>
      <c r="M14" s="7"/>
      <c r="N14" s="7"/>
      <c r="O14" s="7" t="s">
        <v>205</v>
      </c>
      <c r="P14" s="3"/>
    </row>
    <row r="15" customFormat="false" ht="15" hidden="false" customHeight="true" outlineLevel="0" collapsed="false">
      <c r="A15" s="8" t="n">
        <v>46203</v>
      </c>
      <c r="B15" s="7" t="s">
        <v>552</v>
      </c>
      <c r="C15" s="7" t="s">
        <v>184</v>
      </c>
      <c r="D15" s="7" t="s">
        <v>161</v>
      </c>
      <c r="E15" s="7" t="s">
        <v>39</v>
      </c>
      <c r="F15" s="7" t="s">
        <v>165</v>
      </c>
      <c r="G15" s="7" t="n">
        <v>4</v>
      </c>
      <c r="H15" s="7" t="n">
        <v>6</v>
      </c>
      <c r="I15" s="7" t="n">
        <v>1300</v>
      </c>
      <c r="J15" s="7" t="n">
        <v>42</v>
      </c>
      <c r="K15" s="10"/>
      <c r="L15" s="7"/>
      <c r="M15" s="7"/>
      <c r="N15" s="7"/>
      <c r="O15" s="7" t="s">
        <v>205</v>
      </c>
      <c r="P15" s="3"/>
    </row>
    <row r="16" customFormat="false" ht="15" hidden="false" customHeight="true" outlineLevel="0" collapsed="false">
      <c r="A16" s="8" t="n">
        <v>46203</v>
      </c>
      <c r="B16" s="7" t="s">
        <v>552</v>
      </c>
      <c r="C16" s="7" t="s">
        <v>186</v>
      </c>
      <c r="D16" s="7" t="s">
        <v>162</v>
      </c>
      <c r="E16" s="7" t="s">
        <v>39</v>
      </c>
      <c r="F16" s="7" t="s">
        <v>165</v>
      </c>
      <c r="G16" s="7" t="n">
        <v>8</v>
      </c>
      <c r="H16" s="7" t="n">
        <v>11</v>
      </c>
      <c r="I16" s="7" t="n">
        <v>1600</v>
      </c>
      <c r="J16" s="7" t="n">
        <v>51</v>
      </c>
      <c r="K16" s="10"/>
      <c r="L16" s="7"/>
      <c r="M16" s="7"/>
      <c r="N16" s="7"/>
      <c r="O16" s="7" t="s">
        <v>205</v>
      </c>
      <c r="P16" s="3"/>
    </row>
    <row r="17" customFormat="false" ht="15" hidden="false" customHeight="true" outlineLevel="0" collapsed="false">
      <c r="A17" s="8" t="n">
        <v>46203</v>
      </c>
      <c r="B17" s="7" t="s">
        <v>552</v>
      </c>
      <c r="C17" s="7" t="s">
        <v>189</v>
      </c>
      <c r="D17" s="7" t="s">
        <v>163</v>
      </c>
      <c r="E17" s="7" t="s">
        <v>39</v>
      </c>
      <c r="F17" s="7" t="s">
        <v>165</v>
      </c>
      <c r="G17" s="7" t="n">
        <v>12</v>
      </c>
      <c r="H17" s="7" t="n">
        <v>10</v>
      </c>
      <c r="I17" s="7" t="n">
        <v>900</v>
      </c>
      <c r="J17" s="7" t="n">
        <v>39</v>
      </c>
      <c r="K17" s="10"/>
      <c r="L17" s="7"/>
      <c r="M17" s="7"/>
      <c r="N17" s="7"/>
      <c r="O17" s="7" t="s">
        <v>205</v>
      </c>
      <c r="P17" s="3"/>
    </row>
    <row r="18" customFormat="false" ht="15" hidden="false" customHeight="true" outlineLevel="0" collapsed="false">
      <c r="A18" s="8" t="n">
        <v>46203</v>
      </c>
      <c r="B18" s="7" t="s">
        <v>552</v>
      </c>
      <c r="C18" s="7" t="s">
        <v>177</v>
      </c>
      <c r="D18" s="7" t="s">
        <v>164</v>
      </c>
      <c r="E18" s="7" t="s">
        <v>39</v>
      </c>
      <c r="F18" s="7" t="s">
        <v>165</v>
      </c>
      <c r="G18" s="7" t="n">
        <v>1</v>
      </c>
      <c r="H18" s="7" t="n">
        <v>1</v>
      </c>
      <c r="I18" s="7" t="n">
        <v>2400</v>
      </c>
      <c r="J18" s="7" t="n">
        <v>20</v>
      </c>
      <c r="K18" s="10"/>
      <c r="L18" s="7"/>
      <c r="M18" s="7"/>
      <c r="N18" s="7"/>
      <c r="O18" s="7" t="s">
        <v>205</v>
      </c>
      <c r="P18" s="3"/>
    </row>
    <row r="19" customFormat="false" ht="15" hidden="false" customHeight="true" outlineLevel="0" collapsed="false">
      <c r="A19" s="8" t="n">
        <v>46203</v>
      </c>
      <c r="B19" s="7" t="s">
        <v>553</v>
      </c>
      <c r="C19" s="7" t="s">
        <v>554</v>
      </c>
      <c r="D19" s="7"/>
      <c r="E19" s="7" t="s">
        <v>39</v>
      </c>
      <c r="F19" s="7" t="s">
        <v>555</v>
      </c>
      <c r="G19" s="7"/>
      <c r="H19" s="7"/>
      <c r="I19" s="7"/>
      <c r="J19" s="7"/>
      <c r="K19" s="10" t="n">
        <v>0.186</v>
      </c>
      <c r="L19" s="7" t="n">
        <v>1126</v>
      </c>
      <c r="M19" s="7" t="n">
        <v>46</v>
      </c>
      <c r="N19" s="7" t="n">
        <v>15</v>
      </c>
      <c r="O19" s="7" t="s">
        <v>205</v>
      </c>
      <c r="P19" s="3"/>
    </row>
    <row r="20" customFormat="false" ht="15" hidden="false" customHeight="true" outlineLevel="0" collapsed="false">
      <c r="A20" s="8" t="n">
        <v>46203</v>
      </c>
      <c r="B20" s="7" t="s">
        <v>553</v>
      </c>
      <c r="C20" s="7" t="s">
        <v>556</v>
      </c>
      <c r="D20" s="7"/>
      <c r="E20" s="7" t="s">
        <v>39</v>
      </c>
      <c r="F20" s="7" t="s">
        <v>555</v>
      </c>
      <c r="G20" s="7"/>
      <c r="H20" s="7"/>
      <c r="I20" s="7"/>
      <c r="J20" s="7"/>
      <c r="K20" s="10" t="n">
        <v>0.244</v>
      </c>
      <c r="L20" s="7" t="n">
        <v>1830</v>
      </c>
      <c r="M20" s="7" t="n">
        <v>38</v>
      </c>
      <c r="N20" s="7" t="n">
        <v>16</v>
      </c>
      <c r="O20" s="7" t="s">
        <v>50</v>
      </c>
      <c r="P20" s="3"/>
    </row>
    <row r="21" customFormat="false" ht="15.75" hidden="false" customHeight="true" outlineLevel="0" collapsed="false">
      <c r="A21" s="8" t="n">
        <v>46203</v>
      </c>
      <c r="B21" s="7" t="s">
        <v>553</v>
      </c>
      <c r="C21" s="7" t="s">
        <v>557</v>
      </c>
      <c r="D21" s="7"/>
      <c r="E21" s="7" t="s">
        <v>39</v>
      </c>
      <c r="F21" s="7" t="s">
        <v>555</v>
      </c>
      <c r="G21" s="7"/>
      <c r="H21" s="7"/>
      <c r="I21" s="7"/>
      <c r="J21" s="7"/>
      <c r="K21" s="10" t="n">
        <v>0.207</v>
      </c>
      <c r="L21" s="7" t="n">
        <v>1560</v>
      </c>
      <c r="M21" s="7" t="n">
        <v>32</v>
      </c>
      <c r="N21" s="7" t="n">
        <v>14</v>
      </c>
      <c r="O21" s="7" t="s">
        <v>50</v>
      </c>
      <c r="P21" s="3"/>
    </row>
    <row r="22" customFormat="false" ht="15.75" hidden="false" customHeight="true" outlineLevel="0" collapsed="false">
      <c r="A22" s="8" t="n">
        <v>45838</v>
      </c>
      <c r="B22" s="7" t="s">
        <v>552</v>
      </c>
      <c r="C22" s="7" t="s">
        <v>180</v>
      </c>
      <c r="D22" s="7" t="s">
        <v>157</v>
      </c>
      <c r="E22" s="7" t="s">
        <v>39</v>
      </c>
      <c r="F22" s="7" t="s">
        <v>165</v>
      </c>
      <c r="G22" s="7" t="n">
        <v>8</v>
      </c>
      <c r="H22" s="7" t="n">
        <v>10</v>
      </c>
      <c r="I22" s="7" t="n">
        <v>1900</v>
      </c>
      <c r="J22" s="7" t="n">
        <v>48</v>
      </c>
      <c r="K22" s="10"/>
      <c r="L22" s="7"/>
      <c r="M22" s="7"/>
      <c r="N22" s="7"/>
      <c r="O22" s="7" t="s">
        <v>205</v>
      </c>
      <c r="P22" s="3"/>
    </row>
    <row r="23" customFormat="false" ht="15.75" hidden="false" customHeight="true" outlineLevel="0" collapsed="false">
      <c r="A23" s="8" t="n">
        <v>45838</v>
      </c>
      <c r="B23" s="7" t="s">
        <v>552</v>
      </c>
      <c r="C23" s="7" t="s">
        <v>184</v>
      </c>
      <c r="D23" s="7" t="s">
        <v>161</v>
      </c>
      <c r="E23" s="7" t="s">
        <v>39</v>
      </c>
      <c r="F23" s="7" t="s">
        <v>165</v>
      </c>
      <c r="G23" s="7" t="n">
        <v>7</v>
      </c>
      <c r="H23" s="7" t="n">
        <v>9</v>
      </c>
      <c r="I23" s="7" t="n">
        <v>1300</v>
      </c>
      <c r="J23" s="7" t="n">
        <v>42</v>
      </c>
      <c r="K23" s="10"/>
      <c r="L23" s="7"/>
      <c r="M23" s="7"/>
      <c r="N23" s="7"/>
      <c r="O23" s="7" t="s">
        <v>205</v>
      </c>
      <c r="P23" s="3"/>
    </row>
    <row r="24" customFormat="false" ht="15.75" hidden="false" customHeight="true" outlineLevel="0" collapsed="false">
      <c r="A24" s="8" t="n">
        <v>45838</v>
      </c>
      <c r="B24" s="7" t="s">
        <v>552</v>
      </c>
      <c r="C24" s="7" t="s">
        <v>186</v>
      </c>
      <c r="D24" s="7" t="s">
        <v>162</v>
      </c>
      <c r="E24" s="7" t="s">
        <v>39</v>
      </c>
      <c r="F24" s="7" t="s">
        <v>165</v>
      </c>
      <c r="G24" s="7" t="n">
        <v>11</v>
      </c>
      <c r="H24" s="7" t="n">
        <v>14</v>
      </c>
      <c r="I24" s="7" t="n">
        <v>1600</v>
      </c>
      <c r="J24" s="7" t="n">
        <v>51</v>
      </c>
      <c r="K24" s="10"/>
      <c r="L24" s="7"/>
      <c r="M24" s="7"/>
      <c r="N24" s="7"/>
      <c r="O24" s="7" t="s">
        <v>205</v>
      </c>
      <c r="P24" s="3"/>
    </row>
    <row r="25" customFormat="false" ht="15.75" hidden="false" customHeight="true" outlineLevel="0" collapsed="false">
      <c r="A25" s="8" t="n">
        <v>45838</v>
      </c>
      <c r="B25" s="7" t="s">
        <v>552</v>
      </c>
      <c r="C25" s="7" t="s">
        <v>189</v>
      </c>
      <c r="D25" s="7" t="s">
        <v>163</v>
      </c>
      <c r="E25" s="7" t="s">
        <v>39</v>
      </c>
      <c r="F25" s="7" t="s">
        <v>165</v>
      </c>
      <c r="G25" s="7" t="n">
        <v>15</v>
      </c>
      <c r="H25" s="7" t="n">
        <v>13</v>
      </c>
      <c r="I25" s="7" t="n">
        <v>900</v>
      </c>
      <c r="J25" s="7" t="n">
        <v>39</v>
      </c>
      <c r="K25" s="10"/>
      <c r="L25" s="7"/>
      <c r="M25" s="7"/>
      <c r="N25" s="7"/>
      <c r="O25" s="7" t="s">
        <v>205</v>
      </c>
      <c r="P25" s="3"/>
    </row>
    <row r="26" customFormat="false" ht="15.75" hidden="false" customHeight="true" outlineLevel="0" collapsed="false">
      <c r="A26" s="8" t="n">
        <v>45838</v>
      </c>
      <c r="B26" s="7" t="s">
        <v>552</v>
      </c>
      <c r="C26" s="7" t="s">
        <v>177</v>
      </c>
      <c r="D26" s="7" t="s">
        <v>164</v>
      </c>
      <c r="E26" s="7" t="s">
        <v>39</v>
      </c>
      <c r="F26" s="7" t="s">
        <v>165</v>
      </c>
      <c r="G26" s="7" t="n">
        <v>4</v>
      </c>
      <c r="H26" s="7" t="n">
        <v>4</v>
      </c>
      <c r="I26" s="7" t="n">
        <v>2400</v>
      </c>
      <c r="J26" s="7" t="n">
        <v>20</v>
      </c>
      <c r="K26" s="10"/>
      <c r="L26" s="7"/>
      <c r="M26" s="7"/>
      <c r="N26" s="7"/>
      <c r="O26" s="7" t="s">
        <v>205</v>
      </c>
      <c r="P26" s="3"/>
    </row>
    <row r="27" customFormat="false" ht="15.75" hidden="false" customHeight="true" outlineLevel="0" collapsed="false">
      <c r="A27" s="8" t="n">
        <v>45838</v>
      </c>
      <c r="B27" s="7" t="s">
        <v>553</v>
      </c>
      <c r="C27" s="7" t="s">
        <v>554</v>
      </c>
      <c r="D27" s="7"/>
      <c r="E27" s="7" t="s">
        <v>39</v>
      </c>
      <c r="F27" s="7" t="s">
        <v>555</v>
      </c>
      <c r="G27" s="7"/>
      <c r="H27" s="7"/>
      <c r="I27" s="7"/>
      <c r="J27" s="7"/>
      <c r="K27" s="10" t="n">
        <v>0.1265</v>
      </c>
      <c r="L27" s="7" t="n">
        <v>765</v>
      </c>
      <c r="M27" s="7" t="n">
        <v>31</v>
      </c>
      <c r="N27" s="7" t="n">
        <v>10</v>
      </c>
      <c r="O27" s="7" t="s">
        <v>205</v>
      </c>
      <c r="P27" s="3"/>
    </row>
    <row r="28" customFormat="false" ht="15.75" hidden="false" customHeight="true" outlineLevel="0" collapsed="false">
      <c r="A28" s="8" t="n">
        <v>45838</v>
      </c>
      <c r="B28" s="7" t="s">
        <v>553</v>
      </c>
      <c r="C28" s="7" t="s">
        <v>556</v>
      </c>
      <c r="D28" s="7"/>
      <c r="E28" s="7" t="s">
        <v>39</v>
      </c>
      <c r="F28" s="7" t="s">
        <v>555</v>
      </c>
      <c r="G28" s="7"/>
      <c r="H28" s="7"/>
      <c r="I28" s="7"/>
      <c r="J28" s="7"/>
      <c r="K28" s="10" t="n">
        <v>0.244</v>
      </c>
      <c r="L28" s="7" t="n">
        <v>1830</v>
      </c>
      <c r="M28" s="7" t="n">
        <v>38</v>
      </c>
      <c r="N28" s="7" t="n">
        <v>16</v>
      </c>
      <c r="O28" s="7" t="s">
        <v>50</v>
      </c>
      <c r="P28" s="3"/>
    </row>
    <row r="29" customFormat="false" ht="15.75" hidden="false" customHeight="true" outlineLevel="0" collapsed="false">
      <c r="A29" s="8" t="n">
        <v>45838</v>
      </c>
      <c r="B29" s="7" t="s">
        <v>553</v>
      </c>
      <c r="C29" s="7" t="s">
        <v>557</v>
      </c>
      <c r="D29" s="7"/>
      <c r="E29" s="7" t="s">
        <v>39</v>
      </c>
      <c r="F29" s="7" t="s">
        <v>555</v>
      </c>
      <c r="G29" s="7"/>
      <c r="H29" s="7"/>
      <c r="I29" s="7"/>
      <c r="J29" s="7"/>
      <c r="K29" s="10" t="n">
        <v>0.207</v>
      </c>
      <c r="L29" s="7" t="n">
        <v>1560</v>
      </c>
      <c r="M29" s="7" t="n">
        <v>32</v>
      </c>
      <c r="N29" s="7" t="n">
        <v>14</v>
      </c>
      <c r="O29" s="7" t="s">
        <v>50</v>
      </c>
      <c r="P29" s="3"/>
    </row>
    <row r="30" customFormat="false" ht="15.7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customFormat="false" ht="15.7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customFormat="false" ht="15.75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customFormat="false" ht="15.7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customFormat="false" ht="15.75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customFormat="false" ht="15.7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customFormat="false" ht="15.7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customFormat="false" ht="15.7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customFormat="false" ht="15.7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customFormat="false" ht="15.7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customFormat="false" ht="15.7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customFormat="false" ht="15.7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customFormat="false" ht="15.7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customFormat="false" ht="15.7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customFormat="false" ht="15.7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customFormat="false" ht="15.7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customFormat="false" ht="15.7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customFormat="false" ht="15.7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customFormat="false" ht="15.7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customFormat="false" ht="15.7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 customFormat="false" ht="15.7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customFormat="false" ht="15.7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customFormat="false" ht="15.7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customFormat="false" ht="15.7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customFormat="false" ht="15.7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customFormat="false" ht="15.7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customFormat="false" ht="15.7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customFormat="false" ht="15.7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customFormat="false" ht="15.7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customFormat="false" ht="15.7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customFormat="false" ht="15.7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 customFormat="false" ht="15.7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customFormat="false" ht="15.7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 customFormat="false" ht="15.7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 customFormat="false" ht="15.7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</row>
    <row r="65" customFormat="false" ht="15.7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customFormat="false" ht="15.7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 customFormat="false" ht="15.7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customFormat="false" ht="15.7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</row>
    <row r="69" customFormat="false" ht="15.7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customFormat="false" ht="15.7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customFormat="false" ht="15.7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customFormat="false" ht="15.7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customFormat="false" ht="15.7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</row>
    <row r="74" customFormat="false" ht="15.7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 customFormat="false" ht="15.7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</row>
    <row r="76" customFormat="false" ht="15.7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</row>
    <row r="77" customFormat="false" ht="15.7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</row>
    <row r="78" customFormat="false" ht="15.7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customFormat="false" ht="15.7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</row>
    <row r="80" customFormat="false" ht="15.7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</row>
    <row r="81" customFormat="false" ht="15.7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customFormat="false" ht="15.7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customFormat="false" ht="15.7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</row>
    <row r="84" customFormat="false" ht="15.7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</row>
    <row r="85" customFormat="false" ht="15.7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customFormat="false" ht="15.7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</row>
    <row r="87" customFormat="false" ht="15.7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</row>
    <row r="88" customFormat="false" ht="15.7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</row>
    <row r="89" customFormat="false" ht="15.7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</row>
    <row r="90" customFormat="false" ht="15.7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customFormat="false" ht="15.7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</row>
    <row r="92" customFormat="false" ht="15.7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customFormat="false" ht="15.7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</row>
    <row r="94" customFormat="false" ht="15.7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</row>
    <row r="95" customFormat="false" ht="15.7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customFormat="false" ht="15.7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</row>
    <row r="97" customFormat="false" ht="15.7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</row>
    <row r="98" customFormat="false" ht="15.7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</row>
    <row r="99" customFormat="false" ht="15.7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</row>
    <row r="100" customFormat="false" ht="15.7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</row>
    <row r="101" customFormat="false" ht="15.7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</row>
    <row r="102" customFormat="false" ht="15.7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</row>
    <row r="103" customFormat="false" ht="15.7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</row>
    <row r="104" customFormat="false" ht="15.7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customFormat="false" ht="15.7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</row>
    <row r="106" customFormat="false" ht="15.7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</row>
    <row r="107" customFormat="false" ht="15.7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</row>
    <row r="108" customFormat="false" ht="15.7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</row>
    <row r="109" customFormat="false" ht="15.7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</row>
    <row r="110" customFormat="false" ht="15.7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</row>
    <row r="111" customFormat="false" ht="15.7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</row>
    <row r="112" customFormat="false" ht="15.7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</row>
    <row r="113" customFormat="false" ht="15.7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</row>
    <row r="114" customFormat="false" ht="15.7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</row>
    <row r="115" customFormat="false" ht="15.7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</row>
    <row r="116" customFormat="false" ht="15.7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</row>
    <row r="117" customFormat="false" ht="15.7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</row>
    <row r="118" customFormat="false" ht="15.7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</row>
    <row r="119" customFormat="false" ht="15.7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</row>
    <row r="120" customFormat="false" ht="15.7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</row>
    <row r="121" customFormat="false" ht="15.7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</row>
    <row r="122" customFormat="false" ht="15.7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</row>
    <row r="123" customFormat="false" ht="15.7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</row>
    <row r="124" customFormat="false" ht="15.7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</row>
    <row r="125" customFormat="false" ht="15.7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</row>
    <row r="126" customFormat="false" ht="15.7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</row>
    <row r="127" customFormat="false" ht="15.7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</row>
    <row r="128" customFormat="false" ht="15.7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</row>
    <row r="129" customFormat="false" ht="15.7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</row>
    <row r="130" customFormat="false" ht="15.7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</row>
    <row r="131" customFormat="false" ht="15.7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</row>
    <row r="132" customFormat="false" ht="15.7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</row>
    <row r="133" customFormat="false" ht="15.7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</row>
    <row r="134" customFormat="false" ht="15.7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</row>
    <row r="135" customFormat="false" ht="15.7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</row>
    <row r="136" customFormat="false" ht="15.7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</row>
    <row r="137" customFormat="false" ht="15.7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</row>
    <row r="138" customFormat="false" ht="15.7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</row>
    <row r="139" customFormat="false" ht="15.7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</row>
    <row r="140" customFormat="false" ht="15.7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</row>
    <row r="141" customFormat="false" ht="15.7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</row>
    <row r="142" customFormat="false" ht="15.7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</row>
    <row r="143" customFormat="false" ht="15.7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</row>
    <row r="144" customFormat="false" ht="15.7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</row>
    <row r="145" customFormat="false" ht="15.7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</row>
    <row r="146" customFormat="false" ht="15.7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</row>
    <row r="147" customFormat="false" ht="15.7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</row>
    <row r="148" customFormat="false" ht="15.7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</row>
    <row r="149" customFormat="false" ht="15.7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</row>
    <row r="150" customFormat="false" ht="15.7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</row>
    <row r="151" customFormat="false" ht="15.7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</row>
    <row r="152" customFormat="false" ht="15.7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</row>
    <row r="153" customFormat="false" ht="15.7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</row>
    <row r="154" customFormat="false" ht="15.7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</row>
    <row r="155" customFormat="false" ht="15.7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</row>
    <row r="156" customFormat="false" ht="15.7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</row>
    <row r="157" customFormat="false" ht="15.7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</row>
    <row r="158" customFormat="false" ht="15.7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</row>
    <row r="159" customFormat="false" ht="15.7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</row>
    <row r="160" customFormat="false" ht="15.7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</row>
    <row r="161" customFormat="false" ht="15.7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</row>
    <row r="162" customFormat="false" ht="15.7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</row>
    <row r="163" customFormat="false" ht="15.7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</row>
    <row r="164" customFormat="false" ht="15.7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</row>
    <row r="165" customFormat="false" ht="15.7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</row>
    <row r="166" customFormat="false" ht="15.7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</row>
    <row r="167" customFormat="false" ht="15.7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</row>
    <row r="168" customFormat="false" ht="15.7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</row>
    <row r="169" customFormat="false" ht="15.7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</row>
    <row r="170" customFormat="false" ht="15.7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</row>
    <row r="171" customFormat="false" ht="15.7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</row>
    <row r="172" customFormat="false" ht="15.7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</row>
    <row r="173" customFormat="false" ht="15.7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</row>
    <row r="174" customFormat="false" ht="15.7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</row>
    <row r="175" customFormat="false" ht="15.7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</row>
    <row r="176" customFormat="false" ht="15.7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</row>
    <row r="177" customFormat="false" ht="15.7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</row>
    <row r="178" customFormat="false" ht="15.7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</row>
    <row r="179" customFormat="false" ht="15.7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</row>
    <row r="180" customFormat="false" ht="15.7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</row>
    <row r="181" customFormat="false" ht="15.7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</row>
    <row r="182" customFormat="false" ht="15.7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</row>
    <row r="183" customFormat="false" ht="15.7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</row>
    <row r="184" customFormat="false" ht="15.7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</row>
    <row r="185" customFormat="false" ht="15.7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</row>
    <row r="186" customFormat="false" ht="15.7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</row>
    <row r="187" customFormat="false" ht="15.7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</row>
    <row r="188" customFormat="false" ht="15.7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</row>
    <row r="189" customFormat="false" ht="15.7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</row>
    <row r="190" customFormat="false" ht="15.7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</row>
    <row r="191" customFormat="false" ht="15.7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</row>
    <row r="192" customFormat="false" ht="15.7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</row>
    <row r="193" customFormat="false" ht="15.7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</row>
    <row r="194" customFormat="false" ht="15.7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</row>
    <row r="195" customFormat="false" ht="15.7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</row>
    <row r="196" customFormat="false" ht="15.7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</row>
    <row r="197" customFormat="false" ht="15.7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</row>
    <row r="198" customFormat="false" ht="15.7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</row>
    <row r="199" customFormat="false" ht="15.7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</row>
    <row r="200" customFormat="false" ht="15.7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</row>
    <row r="201" customFormat="false" ht="15.7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</row>
    <row r="202" customFormat="false" ht="15.7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</row>
    <row r="203" customFormat="false" ht="15.7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</row>
    <row r="204" customFormat="false" ht="15.7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</row>
    <row r="205" customFormat="false" ht="15.7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</row>
    <row r="206" customFormat="false" ht="15.7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</row>
    <row r="207" customFormat="false" ht="15.7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</row>
    <row r="208" customFormat="false" ht="15.7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</row>
    <row r="209" customFormat="false" ht="15.7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</row>
    <row r="210" customFormat="false" ht="15.7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</row>
    <row r="211" customFormat="false" ht="15.7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</row>
    <row r="212" customFormat="false" ht="15.7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</row>
    <row r="213" customFormat="false" ht="15.7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</row>
    <row r="214" customFormat="false" ht="15.7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</row>
    <row r="215" customFormat="false" ht="15.7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</row>
    <row r="216" customFormat="false" ht="15.7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</row>
    <row r="217" customFormat="false" ht="15.7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</row>
    <row r="218" customFormat="false" ht="15.7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</row>
    <row r="219" customFormat="false" ht="15.7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</row>
    <row r="220" customFormat="false" ht="15.7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</row>
    <row r="221" customFormat="false" ht="15.7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</row>
    <row r="222" customFormat="false" ht="15.7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</row>
    <row r="223" customFormat="false" ht="15.7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</row>
    <row r="224" customFormat="false" ht="15.7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</row>
    <row r="225" customFormat="false" ht="15.7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</row>
    <row r="226" customFormat="false" ht="15.7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</row>
    <row r="227" customFormat="false" ht="15.7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</row>
    <row r="228" customFormat="false" ht="15.7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</row>
    <row r="229" customFormat="false" ht="15.7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</row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">
    <mergeCell ref="A1:P2"/>
    <mergeCell ref="A3:P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16"/>
    <col collapsed="false" customWidth="true" hidden="false" outlineLevel="0" max="3" min="3" style="1" width="28"/>
    <col collapsed="false" customWidth="true" hidden="false" outlineLevel="0" max="4" min="4" style="1" width="18"/>
    <col collapsed="false" customWidth="true" hidden="false" outlineLevel="0" max="5" min="5" style="1" width="28"/>
    <col collapsed="false" customWidth="true" hidden="false" outlineLevel="0" max="6" min="6" style="1" width="12"/>
    <col collapsed="false" customWidth="true" hidden="false" outlineLevel="0" max="7" min="7" style="1" width="22"/>
    <col collapsed="false" customWidth="true" hidden="false" outlineLevel="0" max="8" min="8" style="1" width="14"/>
    <col collapsed="false" customWidth="true" hidden="false" outlineLevel="0" max="11" min="9" style="1" width="16"/>
    <col collapsed="false" customWidth="true" hidden="false" outlineLevel="0" max="12" min="12" style="1" width="12"/>
    <col collapsed="false" customWidth="true" hidden="false" outlineLevel="0" max="13" min="13" style="1" width="50"/>
    <col collapsed="false" customWidth="true" hidden="false" outlineLevel="0" max="26" min="14" style="1" width="8.63"/>
  </cols>
  <sheetData>
    <row r="1" customFormat="false" ht="15" hidden="false" customHeight="true" outlineLevel="0" collapsed="false">
      <c r="A1" s="2" t="s">
        <v>558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5" hidden="false" customHeight="true" outlineLevel="0" collapsed="false">
      <c r="A3" s="4" t="s">
        <v>559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customFormat="false" ht="15" hidden="false" customHeight="tru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customFormat="false" ht="23.25" hidden="false" customHeight="true" outlineLevel="0" collapsed="false">
      <c r="A5" s="21" t="s">
        <v>560</v>
      </c>
      <c r="B5" s="21" t="s">
        <v>541</v>
      </c>
      <c r="C5" s="21" t="s">
        <v>561</v>
      </c>
      <c r="D5" s="21" t="s">
        <v>82</v>
      </c>
      <c r="E5" s="21" t="s">
        <v>562</v>
      </c>
      <c r="F5" s="21" t="s">
        <v>563</v>
      </c>
      <c r="G5" s="21" t="s">
        <v>564</v>
      </c>
      <c r="H5" s="21" t="s">
        <v>565</v>
      </c>
      <c r="I5" s="21" t="s">
        <v>81</v>
      </c>
      <c r="J5" s="21" t="s">
        <v>566</v>
      </c>
      <c r="K5" s="21" t="s">
        <v>567</v>
      </c>
      <c r="L5" s="21" t="s">
        <v>80</v>
      </c>
      <c r="M5" s="21" t="s">
        <v>568</v>
      </c>
      <c r="N5" s="3"/>
      <c r="O5" s="3"/>
      <c r="P5" s="3"/>
    </row>
    <row r="6" customFormat="false" ht="15" hidden="false" customHeight="true" outlineLevel="0" collapsed="false">
      <c r="A6" s="8" t="n">
        <v>46203</v>
      </c>
      <c r="B6" s="7" t="s">
        <v>569</v>
      </c>
      <c r="C6" s="7" t="s">
        <v>570</v>
      </c>
      <c r="D6" s="7"/>
      <c r="E6" s="7" t="s">
        <v>571</v>
      </c>
      <c r="F6" s="7"/>
      <c r="G6" s="7" t="s">
        <v>572</v>
      </c>
      <c r="H6" s="7" t="n">
        <v>1482</v>
      </c>
      <c r="I6" s="7" t="s">
        <v>86</v>
      </c>
      <c r="J6" s="8"/>
      <c r="K6" s="8"/>
      <c r="L6" s="7" t="s">
        <v>90</v>
      </c>
      <c r="M6" s="7"/>
      <c r="N6" s="3"/>
      <c r="O6" s="3"/>
      <c r="P6" s="3"/>
    </row>
    <row r="7" customFormat="false" ht="15" hidden="false" customHeight="true" outlineLevel="0" collapsed="false">
      <c r="A7" s="8" t="n">
        <v>46203</v>
      </c>
      <c r="B7" s="7" t="s">
        <v>569</v>
      </c>
      <c r="C7" s="7" t="s">
        <v>570</v>
      </c>
      <c r="D7" s="7"/>
      <c r="E7" s="7" t="s">
        <v>573</v>
      </c>
      <c r="F7" s="7"/>
      <c r="G7" s="7" t="s">
        <v>574</v>
      </c>
      <c r="H7" s="7" t="n">
        <v>1520</v>
      </c>
      <c r="I7" s="7" t="s">
        <v>86</v>
      </c>
      <c r="J7" s="8"/>
      <c r="K7" s="8"/>
      <c r="L7" s="7" t="s">
        <v>90</v>
      </c>
      <c r="M7" s="7"/>
      <c r="N7" s="3"/>
      <c r="O7" s="3"/>
      <c r="P7" s="3"/>
    </row>
    <row r="8" customFormat="false" ht="15" hidden="false" customHeight="true" outlineLevel="0" collapsed="false">
      <c r="A8" s="8" t="n">
        <v>46203</v>
      </c>
      <c r="B8" s="7" t="s">
        <v>569</v>
      </c>
      <c r="C8" s="7" t="s">
        <v>570</v>
      </c>
      <c r="D8" s="7"/>
      <c r="E8" s="7" t="s">
        <v>575</v>
      </c>
      <c r="F8" s="7"/>
      <c r="G8" s="7" t="s">
        <v>576</v>
      </c>
      <c r="H8" s="7" t="n">
        <v>1280</v>
      </c>
      <c r="I8" s="7" t="s">
        <v>96</v>
      </c>
      <c r="J8" s="8"/>
      <c r="K8" s="8"/>
      <c r="L8" s="7" t="s">
        <v>90</v>
      </c>
      <c r="M8" s="7"/>
      <c r="N8" s="3"/>
      <c r="O8" s="3"/>
      <c r="P8" s="3"/>
    </row>
    <row r="9" customFormat="false" ht="15" hidden="false" customHeight="true" outlineLevel="0" collapsed="false">
      <c r="A9" s="8" t="n">
        <v>46203</v>
      </c>
      <c r="B9" s="7" t="s">
        <v>569</v>
      </c>
      <c r="C9" s="7" t="s">
        <v>570</v>
      </c>
      <c r="D9" s="7"/>
      <c r="E9" s="7" t="s">
        <v>577</v>
      </c>
      <c r="F9" s="7"/>
      <c r="G9" s="7" t="s">
        <v>578</v>
      </c>
      <c r="H9" s="7" t="n">
        <v>1440</v>
      </c>
      <c r="I9" s="7" t="s">
        <v>96</v>
      </c>
      <c r="J9" s="8"/>
      <c r="K9" s="8"/>
      <c r="L9" s="7" t="s">
        <v>90</v>
      </c>
      <c r="M9" s="7"/>
      <c r="N9" s="3"/>
      <c r="O9" s="3"/>
      <c r="P9" s="3"/>
    </row>
    <row r="10" customFormat="false" ht="15" hidden="false" customHeight="true" outlineLevel="0" collapsed="false">
      <c r="A10" s="8" t="n">
        <v>46203</v>
      </c>
      <c r="B10" s="7" t="s">
        <v>569</v>
      </c>
      <c r="C10" s="7" t="s">
        <v>570</v>
      </c>
      <c r="D10" s="7"/>
      <c r="E10" s="7" t="s">
        <v>579</v>
      </c>
      <c r="F10" s="7"/>
      <c r="G10" s="7" t="s">
        <v>580</v>
      </c>
      <c r="H10" s="7" t="n">
        <v>18</v>
      </c>
      <c r="I10" s="7" t="s">
        <v>86</v>
      </c>
      <c r="J10" s="8"/>
      <c r="K10" s="8"/>
      <c r="L10" s="7" t="s">
        <v>85</v>
      </c>
      <c r="M10" s="7"/>
      <c r="N10" s="3"/>
      <c r="O10" s="3"/>
      <c r="P10" s="3"/>
    </row>
    <row r="11" customFormat="false" ht="15" hidden="false" customHeight="true" outlineLevel="0" collapsed="false">
      <c r="A11" s="8" t="n">
        <v>46203</v>
      </c>
      <c r="B11" s="7" t="s">
        <v>569</v>
      </c>
      <c r="C11" s="7" t="s">
        <v>570</v>
      </c>
      <c r="D11" s="7"/>
      <c r="E11" s="7" t="s">
        <v>581</v>
      </c>
      <c r="F11" s="7"/>
      <c r="G11" s="7" t="s">
        <v>581</v>
      </c>
      <c r="H11" s="7" t="n">
        <v>1520</v>
      </c>
      <c r="I11" s="7" t="s">
        <v>86</v>
      </c>
      <c r="J11" s="8"/>
      <c r="K11" s="8"/>
      <c r="L11" s="7" t="s">
        <v>90</v>
      </c>
      <c r="M11" s="7"/>
      <c r="N11" s="3"/>
      <c r="O11" s="3"/>
      <c r="P11" s="3"/>
    </row>
    <row r="12" customFormat="false" ht="15" hidden="false" customHeight="true" outlineLevel="0" collapsed="false">
      <c r="A12" s="8" t="n">
        <v>46203</v>
      </c>
      <c r="B12" s="7" t="s">
        <v>582</v>
      </c>
      <c r="C12" s="7" t="s">
        <v>157</v>
      </c>
      <c r="D12" s="7" t="s">
        <v>92</v>
      </c>
      <c r="E12" s="7" t="s">
        <v>583</v>
      </c>
      <c r="F12" s="7" t="s">
        <v>90</v>
      </c>
      <c r="G12" s="7"/>
      <c r="H12" s="7"/>
      <c r="I12" s="7" t="s">
        <v>96</v>
      </c>
      <c r="J12" s="8" t="n">
        <v>46193</v>
      </c>
      <c r="K12" s="8" t="n">
        <v>46213</v>
      </c>
      <c r="L12" s="7" t="s">
        <v>90</v>
      </c>
      <c r="M12" s="7" t="s">
        <v>584</v>
      </c>
      <c r="N12" s="3"/>
      <c r="O12" s="3"/>
      <c r="P12" s="3"/>
    </row>
    <row r="13" customFormat="false" ht="15" hidden="false" customHeight="true" outlineLevel="0" collapsed="false">
      <c r="A13" s="8" t="n">
        <v>46203</v>
      </c>
      <c r="B13" s="7" t="s">
        <v>582</v>
      </c>
      <c r="C13" s="7" t="s">
        <v>585</v>
      </c>
      <c r="D13" s="7" t="s">
        <v>586</v>
      </c>
      <c r="E13" s="7" t="s">
        <v>587</v>
      </c>
      <c r="F13" s="7" t="s">
        <v>95</v>
      </c>
      <c r="G13" s="7"/>
      <c r="H13" s="7"/>
      <c r="I13" s="7" t="s">
        <v>86</v>
      </c>
      <c r="J13" s="8" t="n">
        <v>46195</v>
      </c>
      <c r="K13" s="8" t="n">
        <v>46210</v>
      </c>
      <c r="L13" s="7" t="s">
        <v>95</v>
      </c>
      <c r="M13" s="7" t="s">
        <v>584</v>
      </c>
      <c r="N13" s="3"/>
      <c r="O13" s="3"/>
      <c r="P13" s="3"/>
    </row>
    <row r="14" customFormat="false" ht="15" hidden="false" customHeight="true" outlineLevel="0" collapsed="false">
      <c r="A14" s="8" t="n">
        <v>46203</v>
      </c>
      <c r="B14" s="7" t="s">
        <v>91</v>
      </c>
      <c r="C14" s="7" t="s">
        <v>162</v>
      </c>
      <c r="D14" s="7" t="s">
        <v>97</v>
      </c>
      <c r="E14" s="7" t="s">
        <v>588</v>
      </c>
      <c r="F14" s="7"/>
      <c r="G14" s="7" t="s">
        <v>52</v>
      </c>
      <c r="H14" s="7" t="n">
        <v>1480</v>
      </c>
      <c r="I14" s="7" t="s">
        <v>91</v>
      </c>
      <c r="J14" s="8" t="n">
        <v>46157</v>
      </c>
      <c r="K14" s="8" t="n">
        <v>46201</v>
      </c>
      <c r="L14" s="7" t="s">
        <v>90</v>
      </c>
      <c r="M14" s="7" t="s">
        <v>589</v>
      </c>
      <c r="N14" s="3"/>
      <c r="O14" s="3"/>
      <c r="P14" s="3"/>
    </row>
    <row r="15" customFormat="false" ht="45" hidden="false" customHeight="true" outlineLevel="0" collapsed="false">
      <c r="A15" s="8" t="n">
        <v>46203</v>
      </c>
      <c r="B15" s="7" t="s">
        <v>91</v>
      </c>
      <c r="C15" s="7" t="s">
        <v>163</v>
      </c>
      <c r="D15" s="7" t="s">
        <v>97</v>
      </c>
      <c r="E15" s="23" t="s">
        <v>590</v>
      </c>
      <c r="F15" s="7"/>
      <c r="G15" s="7" t="s">
        <v>52</v>
      </c>
      <c r="H15" s="7" t="n">
        <v>690</v>
      </c>
      <c r="I15" s="7" t="s">
        <v>91</v>
      </c>
      <c r="J15" s="8" t="n">
        <v>45910</v>
      </c>
      <c r="K15" s="8" t="n">
        <v>46218</v>
      </c>
      <c r="L15" s="7" t="s">
        <v>90</v>
      </c>
      <c r="M15" s="24" t="s">
        <v>591</v>
      </c>
      <c r="N15" s="3"/>
      <c r="O15" s="3"/>
      <c r="P15" s="3"/>
    </row>
    <row r="16" customFormat="false" ht="15" hidden="false" customHeight="true" outlineLevel="0" collapsed="false">
      <c r="A16" s="8" t="n">
        <v>46203</v>
      </c>
      <c r="B16" s="7" t="s">
        <v>592</v>
      </c>
      <c r="C16" s="7" t="s">
        <v>593</v>
      </c>
      <c r="D16" s="7"/>
      <c r="E16" s="7" t="s">
        <v>108</v>
      </c>
      <c r="F16" s="7"/>
      <c r="G16" s="7"/>
      <c r="H16" s="7"/>
      <c r="I16" s="7" t="s">
        <v>86</v>
      </c>
      <c r="J16" s="8" t="n">
        <v>46203</v>
      </c>
      <c r="K16" s="8" t="n">
        <v>46213</v>
      </c>
      <c r="L16" s="7" t="s">
        <v>90</v>
      </c>
      <c r="M16" s="7" t="s">
        <v>594</v>
      </c>
      <c r="N16" s="3"/>
      <c r="O16" s="3"/>
      <c r="P16" s="3"/>
    </row>
    <row r="17" customFormat="false" ht="15" hidden="false" customHeight="true" outlineLevel="0" collapsed="false">
      <c r="A17" s="8" t="n">
        <v>46203</v>
      </c>
      <c r="B17" s="7" t="s">
        <v>592</v>
      </c>
      <c r="C17" s="7" t="s">
        <v>595</v>
      </c>
      <c r="D17" s="7"/>
      <c r="E17" s="7" t="s">
        <v>104</v>
      </c>
      <c r="F17" s="7"/>
      <c r="G17" s="7"/>
      <c r="H17" s="7"/>
      <c r="I17" s="7" t="s">
        <v>96</v>
      </c>
      <c r="J17" s="8" t="n">
        <v>46198</v>
      </c>
      <c r="K17" s="8" t="n">
        <v>46215</v>
      </c>
      <c r="L17" s="7" t="s">
        <v>85</v>
      </c>
      <c r="M17" s="7" t="s">
        <v>596</v>
      </c>
      <c r="N17" s="3"/>
      <c r="O17" s="3"/>
      <c r="P17" s="3"/>
    </row>
    <row r="18" customFormat="fals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customFormat="false" ht="15" hidden="false" customHeight="tru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customFormat="false" ht="1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customFormat="false" ht="15.7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customFormat="false" ht="15.7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customFormat="false" ht="15.75" hidden="false" customHeight="tru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customFormat="false" ht="15.7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customFormat="false" ht="15.75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customFormat="false" ht="15.75" hidden="false" customHeight="tru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customFormat="false" ht="15.75" hidden="false" customHeight="tru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customFormat="false" ht="15.75" hidden="false" customHeight="tru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customFormat="false" ht="15.75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customFormat="false" ht="15.7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customFormat="false" ht="15.7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customFormat="false" ht="15.75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customFormat="false" ht="15.7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customFormat="false" ht="15.75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customFormat="false" ht="15.7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customFormat="false" ht="15.7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customFormat="false" ht="15.7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customFormat="false" ht="15.7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customFormat="false" ht="15.7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customFormat="false" ht="15.7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customFormat="false" ht="15.7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customFormat="false" ht="15.7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customFormat="false" ht="15.7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customFormat="false" ht="15.7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customFormat="false" ht="15.7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customFormat="false" ht="15.7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customFormat="false" ht="15.7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customFormat="false" ht="15.7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customFormat="false" ht="15.7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 customFormat="false" ht="15.7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customFormat="false" ht="15.7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customFormat="false" ht="15.7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customFormat="false" ht="15.7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customFormat="false" ht="15.7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customFormat="false" ht="15.7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customFormat="false" ht="15.7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customFormat="false" ht="15.7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customFormat="false" ht="15.7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customFormat="false" ht="15.7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customFormat="false" ht="15.7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 customFormat="false" ht="15.7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customFormat="false" ht="15.7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 customFormat="false" ht="15.7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 customFormat="false" ht="15.7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</row>
    <row r="65" customFormat="false" ht="15.7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customFormat="false" ht="15.7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 customFormat="false" ht="15.7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customFormat="false" ht="15.7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</row>
    <row r="69" customFormat="false" ht="15.7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customFormat="false" ht="15.7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customFormat="false" ht="15.7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customFormat="false" ht="15.7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customFormat="false" ht="15.7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</row>
    <row r="74" customFormat="false" ht="15.7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 customFormat="false" ht="15.7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</row>
    <row r="76" customFormat="false" ht="15.7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</row>
    <row r="77" customFormat="false" ht="15.7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</row>
    <row r="78" customFormat="false" ht="15.7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customFormat="false" ht="15.7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</row>
    <row r="80" customFormat="false" ht="15.7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</row>
    <row r="81" customFormat="false" ht="15.7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customFormat="false" ht="15.7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customFormat="false" ht="15.7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</row>
    <row r="84" customFormat="false" ht="15.7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</row>
    <row r="85" customFormat="false" ht="15.7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customFormat="false" ht="15.7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</row>
    <row r="87" customFormat="false" ht="15.7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</row>
    <row r="88" customFormat="false" ht="15.7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</row>
    <row r="89" customFormat="false" ht="15.7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</row>
    <row r="90" customFormat="false" ht="15.7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customFormat="false" ht="15.7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</row>
    <row r="92" customFormat="false" ht="15.7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customFormat="false" ht="15.7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</row>
    <row r="94" customFormat="false" ht="15.7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</row>
    <row r="95" customFormat="false" ht="15.7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customFormat="false" ht="15.7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</row>
    <row r="97" customFormat="false" ht="15.7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</row>
    <row r="98" customFormat="false" ht="15.7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</row>
    <row r="99" customFormat="false" ht="15.7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</row>
    <row r="100" customFormat="false" ht="15.7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</row>
    <row r="101" customFormat="false" ht="15.7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</row>
    <row r="102" customFormat="false" ht="15.7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</row>
    <row r="103" customFormat="false" ht="15.7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</row>
    <row r="104" customFormat="false" ht="15.7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customFormat="false" ht="15.7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</row>
    <row r="106" customFormat="false" ht="15.7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</row>
    <row r="107" customFormat="false" ht="15.7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</row>
    <row r="108" customFormat="false" ht="15.7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</row>
    <row r="109" customFormat="false" ht="15.7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</row>
    <row r="110" customFormat="false" ht="15.7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</row>
    <row r="111" customFormat="false" ht="15.7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</row>
    <row r="112" customFormat="false" ht="15.7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</row>
    <row r="113" customFormat="false" ht="15.7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</row>
    <row r="114" customFormat="false" ht="15.7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</row>
    <row r="115" customFormat="false" ht="15.7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</row>
    <row r="116" customFormat="false" ht="15.7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</row>
    <row r="117" customFormat="false" ht="15.7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</row>
    <row r="118" customFormat="false" ht="15.7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</row>
    <row r="119" customFormat="false" ht="15.7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</row>
    <row r="120" customFormat="false" ht="15.7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</row>
    <row r="121" customFormat="false" ht="15.7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</row>
    <row r="122" customFormat="false" ht="15.7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</row>
    <row r="123" customFormat="false" ht="15.7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</row>
    <row r="124" customFormat="false" ht="15.7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</row>
    <row r="125" customFormat="false" ht="15.7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</row>
    <row r="126" customFormat="false" ht="15.7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</row>
    <row r="127" customFormat="false" ht="15.7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</row>
    <row r="128" customFormat="false" ht="15.7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</row>
    <row r="129" customFormat="false" ht="15.7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</row>
    <row r="130" customFormat="false" ht="15.7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</row>
    <row r="131" customFormat="false" ht="15.7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</row>
    <row r="132" customFormat="false" ht="15.7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</row>
    <row r="133" customFormat="false" ht="15.7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</row>
    <row r="134" customFormat="false" ht="15.7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</row>
    <row r="135" customFormat="false" ht="15.7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</row>
    <row r="136" customFormat="false" ht="15.7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</row>
    <row r="137" customFormat="false" ht="15.7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</row>
    <row r="138" customFormat="false" ht="15.7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</row>
    <row r="139" customFormat="false" ht="15.7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</row>
    <row r="140" customFormat="false" ht="15.7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</row>
    <row r="141" customFormat="false" ht="15.7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</row>
    <row r="142" customFormat="false" ht="15.7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</row>
    <row r="143" customFormat="false" ht="15.7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</row>
    <row r="144" customFormat="false" ht="15.7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</row>
    <row r="145" customFormat="false" ht="15.7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</row>
    <row r="146" customFormat="false" ht="15.7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</row>
    <row r="147" customFormat="false" ht="15.7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</row>
    <row r="148" customFormat="false" ht="15.7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</row>
    <row r="149" customFormat="false" ht="15.7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</row>
    <row r="150" customFormat="false" ht="15.7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</row>
    <row r="151" customFormat="false" ht="15.7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</row>
    <row r="152" customFormat="false" ht="15.7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</row>
    <row r="153" customFormat="false" ht="15.7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</row>
    <row r="154" customFormat="false" ht="15.7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</row>
    <row r="155" customFormat="false" ht="15.7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</row>
    <row r="156" customFormat="false" ht="15.7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</row>
    <row r="157" customFormat="false" ht="15.7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</row>
    <row r="158" customFormat="false" ht="15.7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</row>
    <row r="159" customFormat="false" ht="15.7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</row>
    <row r="160" customFormat="false" ht="15.7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</row>
    <row r="161" customFormat="false" ht="15.7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</row>
    <row r="162" customFormat="false" ht="15.7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</row>
    <row r="163" customFormat="false" ht="15.7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</row>
    <row r="164" customFormat="false" ht="15.7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</row>
    <row r="165" customFormat="false" ht="15.7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</row>
    <row r="166" customFormat="false" ht="15.7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</row>
    <row r="167" customFormat="false" ht="15.7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</row>
    <row r="168" customFormat="false" ht="15.7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</row>
    <row r="169" customFormat="false" ht="15.7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</row>
    <row r="170" customFormat="false" ht="15.7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</row>
    <row r="171" customFormat="false" ht="15.7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</row>
    <row r="172" customFormat="false" ht="15.7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</row>
    <row r="173" customFormat="false" ht="15.7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</row>
    <row r="174" customFormat="false" ht="15.7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</row>
    <row r="175" customFormat="false" ht="15.7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</row>
    <row r="176" customFormat="false" ht="15.7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</row>
    <row r="177" customFormat="false" ht="15.7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</row>
    <row r="178" customFormat="false" ht="15.7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</row>
    <row r="179" customFormat="false" ht="15.7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</row>
    <row r="180" customFormat="false" ht="15.7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</row>
    <row r="181" customFormat="false" ht="15.7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</row>
    <row r="182" customFormat="false" ht="15.7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</row>
    <row r="183" customFormat="false" ht="15.7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</row>
    <row r="184" customFormat="false" ht="15.7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</row>
    <row r="185" customFormat="false" ht="15.7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</row>
    <row r="186" customFormat="false" ht="15.7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</row>
    <row r="187" customFormat="false" ht="15.7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</row>
    <row r="188" customFormat="false" ht="15.7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</row>
    <row r="189" customFormat="false" ht="15.7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</row>
    <row r="190" customFormat="false" ht="15.7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</row>
    <row r="191" customFormat="false" ht="15.7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</row>
    <row r="192" customFormat="false" ht="15.7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</row>
    <row r="193" customFormat="false" ht="15.7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</row>
    <row r="194" customFormat="false" ht="15.7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</row>
    <row r="195" customFormat="false" ht="15.7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</row>
    <row r="196" customFormat="false" ht="15.7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</row>
    <row r="197" customFormat="false" ht="15.7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</row>
    <row r="198" customFormat="false" ht="15.7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</row>
    <row r="199" customFormat="false" ht="15.7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</row>
    <row r="200" customFormat="false" ht="15.7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</row>
    <row r="201" customFormat="false" ht="15.7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</row>
    <row r="202" customFormat="false" ht="15.7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</row>
    <row r="203" customFormat="false" ht="15.7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</row>
    <row r="204" customFormat="false" ht="15.7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</row>
    <row r="205" customFormat="false" ht="15.7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</row>
    <row r="206" customFormat="false" ht="15.7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</row>
    <row r="207" customFormat="false" ht="15.7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</row>
    <row r="208" customFormat="false" ht="15.7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</row>
    <row r="209" customFormat="false" ht="15.7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</row>
    <row r="210" customFormat="false" ht="15.7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</row>
    <row r="211" customFormat="false" ht="15.7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</row>
    <row r="212" customFormat="false" ht="15.7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</row>
    <row r="213" customFormat="false" ht="15.7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</row>
    <row r="214" customFormat="false" ht="15.7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</row>
    <row r="215" customFormat="false" ht="15.7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</row>
    <row r="216" customFormat="false" ht="15.7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</row>
    <row r="217" customFormat="false" ht="15.7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</row>
    <row r="218" customFormat="false" ht="15.7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</row>
    <row r="219" customFormat="false" ht="15.7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</row>
    <row r="220" customFormat="false" ht="15.7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</row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">
    <mergeCell ref="A1:P2"/>
    <mergeCell ref="A3:P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0"/>
    <col collapsed="false" customWidth="true" hidden="false" outlineLevel="0" max="3" min="3" style="1" width="10"/>
    <col collapsed="false" customWidth="true" hidden="false" outlineLevel="0" max="4" min="4" style="1" width="14"/>
    <col collapsed="false" customWidth="true" hidden="false" outlineLevel="0" max="5" min="5" style="1" width="10"/>
    <col collapsed="false" customWidth="true" hidden="false" outlineLevel="0" max="6" min="6" style="1" width="32"/>
    <col collapsed="false" customWidth="true" hidden="false" outlineLevel="0" max="7" min="7" style="1" width="10"/>
    <col collapsed="false" customWidth="true" hidden="false" outlineLevel="0" max="8" min="8" style="1" width="34"/>
    <col collapsed="false" customWidth="true" hidden="false" outlineLevel="0" max="9" min="9" style="1" width="10"/>
    <col collapsed="false" customWidth="true" hidden="false" outlineLevel="0" max="10" min="10" style="1" width="24"/>
    <col collapsed="false" customWidth="true" hidden="false" outlineLevel="0" max="11" min="11" style="1" width="8"/>
    <col collapsed="false" customWidth="true" hidden="false" outlineLevel="0" max="15" min="12" style="1" width="10"/>
    <col collapsed="false" customWidth="true" hidden="false" outlineLevel="0" max="16" min="16" style="1" width="16"/>
    <col collapsed="false" customWidth="true" hidden="false" outlineLevel="0" max="17" min="17" style="1" width="10"/>
  </cols>
  <sheetData>
    <row r="1" customFormat="false" ht="15.75" hidden="false" customHeight="true" outlineLevel="0" collapsed="false">
      <c r="A1" s="25" t="s">
        <v>597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</row>
    <row r="3" customFormat="false" ht="27.75" hidden="false" customHeight="true" outlineLevel="0" collapsed="false">
      <c r="A3" s="26" t="s">
        <v>598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</row>
    <row r="5" customFormat="false" ht="34.5" hidden="false" customHeight="true" outlineLevel="0" collapsed="false">
      <c r="A5" s="12" t="s">
        <v>599</v>
      </c>
      <c r="B5" s="12" t="s">
        <v>600</v>
      </c>
      <c r="C5" s="12" t="s">
        <v>601</v>
      </c>
      <c r="D5" s="12" t="s">
        <v>602</v>
      </c>
      <c r="E5" s="12" t="s">
        <v>603</v>
      </c>
      <c r="F5" s="12" t="s">
        <v>604</v>
      </c>
      <c r="G5" s="12" t="s">
        <v>605</v>
      </c>
      <c r="H5" s="12" t="s">
        <v>606</v>
      </c>
      <c r="I5" s="12" t="s">
        <v>607</v>
      </c>
      <c r="J5" s="12" t="s">
        <v>608</v>
      </c>
      <c r="K5" s="12" t="s">
        <v>609</v>
      </c>
      <c r="L5" s="12" t="s">
        <v>610</v>
      </c>
      <c r="M5" s="12" t="s">
        <v>611</v>
      </c>
      <c r="N5" s="12" t="s">
        <v>612</v>
      </c>
      <c r="O5" s="12" t="s">
        <v>613</v>
      </c>
      <c r="P5" s="12" t="s">
        <v>614</v>
      </c>
      <c r="Q5" s="12" t="s">
        <v>615</v>
      </c>
    </row>
    <row r="6" customFormat="false" ht="15" hidden="false" customHeight="true" outlineLevel="0" collapsed="false">
      <c r="A6" s="13" t="s">
        <v>616</v>
      </c>
      <c r="B6" s="13" t="s">
        <v>164</v>
      </c>
      <c r="C6" s="13" t="n">
        <v>200</v>
      </c>
      <c r="D6" s="13" t="s">
        <v>617</v>
      </c>
      <c r="E6" s="13" t="s">
        <v>50</v>
      </c>
      <c r="F6" s="13" t="s">
        <v>618</v>
      </c>
      <c r="G6" s="13" t="n">
        <v>48</v>
      </c>
      <c r="H6" s="13" t="s">
        <v>619</v>
      </c>
      <c r="I6" s="13" t="n">
        <v>0</v>
      </c>
      <c r="J6" s="13" t="s">
        <v>620</v>
      </c>
      <c r="K6" s="13" t="n">
        <v>1</v>
      </c>
      <c r="L6" s="13" t="n">
        <v>420</v>
      </c>
      <c r="M6" s="13" t="n">
        <v>6</v>
      </c>
      <c r="N6" s="13" t="n">
        <v>5</v>
      </c>
      <c r="O6" s="13" t="n">
        <v>0</v>
      </c>
      <c r="P6" s="13" t="s">
        <v>621</v>
      </c>
      <c r="Q6" s="13" t="n">
        <v>0</v>
      </c>
    </row>
    <row r="7" customFormat="false" ht="15" hidden="false" customHeight="true" outlineLevel="0" collapsed="false">
      <c r="A7" s="13" t="s">
        <v>616</v>
      </c>
      <c r="B7" s="13" t="s">
        <v>157</v>
      </c>
      <c r="C7" s="13" t="n">
        <v>200</v>
      </c>
      <c r="D7" s="13" t="s">
        <v>617</v>
      </c>
      <c r="E7" s="13" t="s">
        <v>50</v>
      </c>
      <c r="F7" s="13" t="s">
        <v>622</v>
      </c>
      <c r="G7" s="13" t="n">
        <v>33</v>
      </c>
      <c r="H7" s="13" t="s">
        <v>623</v>
      </c>
      <c r="I7" s="13" t="n">
        <v>66</v>
      </c>
      <c r="J7" s="13" t="s">
        <v>183</v>
      </c>
      <c r="K7" s="13" t="n">
        <v>1</v>
      </c>
      <c r="L7" s="13" t="n">
        <v>680</v>
      </c>
      <c r="M7" s="13" t="n">
        <v>4</v>
      </c>
      <c r="N7" s="13" t="n">
        <v>8</v>
      </c>
      <c r="O7" s="13" t="n">
        <v>2</v>
      </c>
      <c r="P7" s="13" t="s">
        <v>624</v>
      </c>
      <c r="Q7" s="13" t="n">
        <v>1</v>
      </c>
    </row>
    <row r="8" customFormat="false" ht="15" hidden="false" customHeight="true" outlineLevel="0" collapsed="false">
      <c r="A8" s="13" t="s">
        <v>616</v>
      </c>
      <c r="B8" s="13" t="s">
        <v>161</v>
      </c>
      <c r="C8" s="13" t="n">
        <v>200</v>
      </c>
      <c r="D8" s="13" t="s">
        <v>617</v>
      </c>
      <c r="E8" s="13" t="s">
        <v>50</v>
      </c>
      <c r="F8" s="13" t="s">
        <v>625</v>
      </c>
      <c r="G8" s="13" t="n">
        <v>28</v>
      </c>
      <c r="H8" s="13" t="s">
        <v>619</v>
      </c>
      <c r="I8" s="13" t="n">
        <v>0</v>
      </c>
      <c r="J8" s="13" t="s">
        <v>185</v>
      </c>
      <c r="K8" s="13" t="n">
        <v>1</v>
      </c>
      <c r="L8" s="13" t="n">
        <v>710</v>
      </c>
      <c r="M8" s="13" t="n">
        <v>4</v>
      </c>
      <c r="N8" s="13" t="n">
        <v>7</v>
      </c>
      <c r="O8" s="13" t="n">
        <v>1</v>
      </c>
      <c r="P8" s="13" t="s">
        <v>624</v>
      </c>
      <c r="Q8" s="13" t="n">
        <v>1</v>
      </c>
    </row>
    <row r="9" customFormat="false" ht="15" hidden="false" customHeight="true" outlineLevel="0" collapsed="false">
      <c r="A9" s="13" t="s">
        <v>616</v>
      </c>
      <c r="B9" s="13" t="s">
        <v>162</v>
      </c>
      <c r="C9" s="13" t="n">
        <v>200</v>
      </c>
      <c r="D9" s="13" t="s">
        <v>617</v>
      </c>
      <c r="E9" s="13" t="s">
        <v>50</v>
      </c>
      <c r="F9" s="13" t="s">
        <v>626</v>
      </c>
      <c r="G9" s="13" t="n">
        <v>44</v>
      </c>
      <c r="H9" s="13" t="s">
        <v>627</v>
      </c>
      <c r="I9" s="13" t="n">
        <v>71</v>
      </c>
      <c r="J9" s="13" t="s">
        <v>628</v>
      </c>
      <c r="K9" s="13" t="n">
        <v>1</v>
      </c>
      <c r="L9" s="13" t="n">
        <v>1840</v>
      </c>
      <c r="M9" s="13" t="n">
        <v>3</v>
      </c>
      <c r="N9" s="13" t="n">
        <v>4</v>
      </c>
      <c r="O9" s="13" t="n">
        <v>0</v>
      </c>
      <c r="P9" s="13" t="s">
        <v>629</v>
      </c>
      <c r="Q9" s="13" t="n">
        <v>2</v>
      </c>
    </row>
    <row r="10" customFormat="false" ht="15" hidden="false" customHeight="true" outlineLevel="0" collapsed="false">
      <c r="A10" s="13" t="s">
        <v>616</v>
      </c>
      <c r="B10" s="13" t="s">
        <v>163</v>
      </c>
      <c r="C10" s="13" t="n">
        <v>200</v>
      </c>
      <c r="D10" s="13" t="s">
        <v>617</v>
      </c>
      <c r="E10" s="13" t="s">
        <v>50</v>
      </c>
      <c r="F10" s="13" t="s">
        <v>630</v>
      </c>
      <c r="G10" s="13" t="n">
        <v>18</v>
      </c>
      <c r="H10" s="13" t="s">
        <v>619</v>
      </c>
      <c r="I10" s="13" t="n">
        <v>0</v>
      </c>
      <c r="J10" s="13" t="s">
        <v>630</v>
      </c>
      <c r="K10" s="13" t="n">
        <v>1</v>
      </c>
      <c r="L10" s="13" t="n">
        <v>1210</v>
      </c>
      <c r="M10" s="13" t="n">
        <v>2</v>
      </c>
      <c r="N10" s="13" t="n">
        <v>3</v>
      </c>
      <c r="O10" s="13" t="n">
        <v>1</v>
      </c>
      <c r="P10" s="13" t="s">
        <v>631</v>
      </c>
      <c r="Q10" s="13" t="n">
        <v>2</v>
      </c>
    </row>
    <row r="11" customFormat="false" ht="15" hidden="false" customHeight="true" outlineLevel="0" collapsed="false">
      <c r="A11" s="13" t="s">
        <v>616</v>
      </c>
      <c r="B11" s="13" t="s">
        <v>166</v>
      </c>
      <c r="C11" s="13" t="n">
        <v>200</v>
      </c>
      <c r="D11" s="13" t="s">
        <v>617</v>
      </c>
      <c r="E11" s="13" t="s">
        <v>50</v>
      </c>
      <c r="F11" s="13" t="s">
        <v>632</v>
      </c>
      <c r="G11" s="13" t="n">
        <v>20</v>
      </c>
      <c r="H11" s="13" t="s">
        <v>633</v>
      </c>
      <c r="I11" s="13" t="n">
        <v>28</v>
      </c>
      <c r="J11" s="13" t="s">
        <v>634</v>
      </c>
      <c r="K11" s="13" t="n">
        <v>1</v>
      </c>
      <c r="L11" s="13" t="n">
        <v>180</v>
      </c>
      <c r="M11" s="13" t="n">
        <v>5</v>
      </c>
      <c r="N11" s="13" t="n">
        <v>1</v>
      </c>
      <c r="O11" s="13" t="n">
        <v>0</v>
      </c>
      <c r="P11" s="13" t="s">
        <v>635</v>
      </c>
      <c r="Q11" s="13" t="n">
        <v>1</v>
      </c>
    </row>
    <row r="13" customFormat="false" ht="15" hidden="false" customHeight="true" outlineLevel="0" collapsed="false">
      <c r="A13" s="26" t="s">
        <v>636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</row>
  </sheetData>
  <mergeCells count="3">
    <mergeCell ref="A1:M1"/>
    <mergeCell ref="A3:M3"/>
    <mergeCell ref="A13:M13"/>
  </mergeCells>
  <dataValidations count="1">
    <dataValidation allowBlank="true" errorStyle="stop" operator="between" showDropDown="false" showErrorMessage="false" showInputMessage="false" sqref="E6:E200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32"/>
    <col collapsed="false" customWidth="true" hidden="false" outlineLevel="0" max="3" min="3" style="1" width="16"/>
    <col collapsed="false" customWidth="true" hidden="false" outlineLevel="0" max="4" min="4" style="1" width="26"/>
    <col collapsed="false" customWidth="true" hidden="false" outlineLevel="0" max="5" min="5" style="1" width="12"/>
    <col collapsed="false" customWidth="true" hidden="false" outlineLevel="0" max="6" min="6" style="1" width="10"/>
    <col collapsed="false" customWidth="true" hidden="false" outlineLevel="0" max="7" min="7" style="1" width="12"/>
    <col collapsed="false" customWidth="true" hidden="false" outlineLevel="0" max="8" min="8" style="1" width="10"/>
    <col collapsed="false" customWidth="true" hidden="false" outlineLevel="0" max="11" min="9" style="1" width="12"/>
    <col collapsed="false" customWidth="true" hidden="false" outlineLevel="0" max="12" min="12" style="1" width="30"/>
  </cols>
  <sheetData>
    <row r="1" customFormat="false" ht="15.75" hidden="false" customHeight="true" outlineLevel="0" collapsed="false">
      <c r="A1" s="25" t="s">
        <v>637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3" customFormat="false" ht="27.75" hidden="false" customHeight="true" outlineLevel="0" collapsed="false">
      <c r="A3" s="26" t="s">
        <v>638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</row>
    <row r="5" customFormat="false" ht="23.25" hidden="false" customHeight="true" outlineLevel="0" collapsed="false">
      <c r="A5" s="12" t="s">
        <v>639</v>
      </c>
      <c r="B5" s="12" t="s">
        <v>640</v>
      </c>
      <c r="C5" s="12" t="s">
        <v>641</v>
      </c>
      <c r="D5" s="12" t="s">
        <v>642</v>
      </c>
      <c r="E5" s="12" t="s">
        <v>643</v>
      </c>
      <c r="F5" s="12" t="s">
        <v>644</v>
      </c>
      <c r="G5" s="12" t="s">
        <v>645</v>
      </c>
      <c r="H5" s="12" t="s">
        <v>646</v>
      </c>
      <c r="I5" s="12" t="s">
        <v>647</v>
      </c>
      <c r="J5" s="12" t="s">
        <v>648</v>
      </c>
      <c r="K5" s="12" t="s">
        <v>649</v>
      </c>
      <c r="L5" s="12" t="s">
        <v>568</v>
      </c>
    </row>
    <row r="6" customFormat="false" ht="15" hidden="false" customHeight="true" outlineLevel="0" collapsed="false">
      <c r="A6" s="13" t="s">
        <v>650</v>
      </c>
      <c r="B6" s="13" t="s">
        <v>651</v>
      </c>
      <c r="C6" s="13" t="s">
        <v>157</v>
      </c>
      <c r="D6" s="13" t="s">
        <v>7</v>
      </c>
      <c r="E6" s="13" t="s">
        <v>178</v>
      </c>
      <c r="F6" s="13" t="s">
        <v>50</v>
      </c>
      <c r="G6" s="13" t="n">
        <v>54</v>
      </c>
      <c r="H6" s="13" t="n">
        <v>2</v>
      </c>
      <c r="I6" s="13" t="s">
        <v>652</v>
      </c>
      <c r="J6" s="13"/>
      <c r="K6" s="13" t="s">
        <v>653</v>
      </c>
      <c r="L6" s="13"/>
    </row>
    <row r="7" customFormat="false" ht="15" hidden="false" customHeight="true" outlineLevel="0" collapsed="false">
      <c r="A7" s="13" t="s">
        <v>654</v>
      </c>
      <c r="B7" s="13" t="s">
        <v>655</v>
      </c>
      <c r="C7" s="13" t="s">
        <v>157</v>
      </c>
      <c r="D7" s="13" t="s">
        <v>656</v>
      </c>
      <c r="E7" s="13" t="s">
        <v>657</v>
      </c>
      <c r="F7" s="13" t="s">
        <v>50</v>
      </c>
      <c r="G7" s="13" t="n">
        <v>41</v>
      </c>
      <c r="H7" s="13" t="n">
        <v>4</v>
      </c>
      <c r="I7" s="13" t="s">
        <v>658</v>
      </c>
      <c r="J7" s="13"/>
      <c r="K7" s="13" t="s">
        <v>653</v>
      </c>
      <c r="L7" s="13" t="s">
        <v>659</v>
      </c>
    </row>
    <row r="8" customFormat="false" ht="15" hidden="false" customHeight="true" outlineLevel="0" collapsed="false">
      <c r="A8" s="13" t="s">
        <v>660</v>
      </c>
      <c r="B8" s="13" t="s">
        <v>661</v>
      </c>
      <c r="C8" s="13" t="s">
        <v>164</v>
      </c>
      <c r="D8" s="13" t="s">
        <v>7</v>
      </c>
      <c r="E8" s="13" t="s">
        <v>178</v>
      </c>
      <c r="F8" s="13" t="s">
        <v>50</v>
      </c>
      <c r="G8" s="13" t="n">
        <v>38</v>
      </c>
      <c r="H8" s="13" t="n">
        <v>3</v>
      </c>
      <c r="I8" s="13" t="s">
        <v>662</v>
      </c>
      <c r="J8" s="13"/>
      <c r="K8" s="13" t="s">
        <v>663</v>
      </c>
      <c r="L8" s="13"/>
    </row>
    <row r="9" customFormat="false" ht="15" hidden="false" customHeight="true" outlineLevel="0" collapsed="false">
      <c r="A9" s="13" t="s">
        <v>664</v>
      </c>
      <c r="B9" s="13" t="s">
        <v>665</v>
      </c>
      <c r="C9" s="13" t="s">
        <v>162</v>
      </c>
      <c r="D9" s="13" t="s">
        <v>666</v>
      </c>
      <c r="E9" s="13" t="s">
        <v>667</v>
      </c>
      <c r="F9" s="13" t="s">
        <v>50</v>
      </c>
      <c r="G9" s="13" t="n">
        <v>47</v>
      </c>
      <c r="H9" s="13" t="n">
        <v>5</v>
      </c>
      <c r="I9" s="13" t="s">
        <v>668</v>
      </c>
      <c r="J9" s="13"/>
      <c r="K9" s="13" t="s">
        <v>653</v>
      </c>
      <c r="L9" s="13"/>
    </row>
    <row r="10" customFormat="false" ht="15" hidden="false" customHeight="true" outlineLevel="0" collapsed="false">
      <c r="A10" s="13" t="s">
        <v>669</v>
      </c>
      <c r="B10" s="13" t="s">
        <v>670</v>
      </c>
      <c r="C10" s="13" t="s">
        <v>161</v>
      </c>
      <c r="D10" s="13" t="s">
        <v>671</v>
      </c>
      <c r="E10" s="13" t="s">
        <v>657</v>
      </c>
      <c r="F10" s="13" t="s">
        <v>50</v>
      </c>
      <c r="G10" s="13" t="n">
        <v>6</v>
      </c>
      <c r="H10" s="13" t="n">
        <v>78</v>
      </c>
      <c r="I10" s="13" t="s">
        <v>672</v>
      </c>
      <c r="J10" s="13"/>
      <c r="K10" s="13" t="s">
        <v>673</v>
      </c>
      <c r="L10" s="13" t="s">
        <v>674</v>
      </c>
    </row>
    <row r="11" customFormat="false" ht="15" hidden="false" customHeight="true" outlineLevel="0" collapsed="false">
      <c r="A11" s="13" t="s">
        <v>675</v>
      </c>
      <c r="B11" s="13" t="s">
        <v>676</v>
      </c>
      <c r="C11" s="13" t="s">
        <v>163</v>
      </c>
      <c r="D11" s="13" t="s">
        <v>189</v>
      </c>
      <c r="E11" s="13" t="s">
        <v>677</v>
      </c>
      <c r="F11" s="13" t="s">
        <v>205</v>
      </c>
      <c r="G11" s="13" t="n">
        <v>22</v>
      </c>
      <c r="H11" s="13" t="n">
        <v>15</v>
      </c>
      <c r="I11" s="13" t="s">
        <v>678</v>
      </c>
      <c r="J11" s="13" t="s">
        <v>679</v>
      </c>
      <c r="K11" s="13" t="s">
        <v>680</v>
      </c>
      <c r="L11" s="13" t="s">
        <v>681</v>
      </c>
    </row>
    <row r="13" customFormat="false" ht="15" hidden="false" customHeight="true" outlineLevel="0" collapsed="false">
      <c r="A13" s="26" t="s">
        <v>682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</row>
  </sheetData>
  <mergeCells count="3">
    <mergeCell ref="A1:L1"/>
    <mergeCell ref="A3:L3"/>
    <mergeCell ref="A13:L13"/>
  </mergeCells>
  <dataValidations count="2">
    <dataValidation allowBlank="true" errorStyle="stop" operator="between" showDropDown="false" showErrorMessage="false" showInputMessage="false" sqref="E6:E300" type="list">
      <formula1>"Brand,Exact,Partial,Generic,Naked URL,Image"</formula1>
      <formula2>0</formula2>
    </dataValidation>
    <dataValidation allowBlank="true" errorStyle="stop" operator="between" showDropDown="false" showErrorMessage="false" showInputMessage="false" sqref="F6:F300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23"/>
    <col collapsed="false" customWidth="true" hidden="false" outlineLevel="0" max="5" min="2" style="1" width="16"/>
    <col collapsed="false" customWidth="true" hidden="false" outlineLevel="0" max="6" min="6" style="1" width="14"/>
    <col collapsed="false" customWidth="true" hidden="false" outlineLevel="0" max="7" min="7" style="1" width="16"/>
    <col collapsed="false" customWidth="true" hidden="false" outlineLevel="0" max="8" min="8" style="1" width="14"/>
    <col collapsed="false" customWidth="true" hidden="false" outlineLevel="0" max="9" min="9" style="1" width="18"/>
    <col collapsed="false" customWidth="true" hidden="false" outlineLevel="0" max="10" min="10" style="1" width="24"/>
    <col collapsed="false" customWidth="true" hidden="false" outlineLevel="0" max="11" min="11" style="1" width="34"/>
    <col collapsed="false" customWidth="true" hidden="false" outlineLevel="0" max="14" min="12" style="1" width="14"/>
    <col collapsed="false" customWidth="true" hidden="false" outlineLevel="0" max="26" min="15" style="1" width="8.63"/>
  </cols>
  <sheetData>
    <row r="1" customFormat="false" ht="15" hidden="false" customHeight="true" outlineLevel="0" collapsed="false">
      <c r="A1" s="2" t="s">
        <v>683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3"/>
    </row>
    <row r="2" customFormat="false" ht="1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3"/>
    </row>
    <row r="3" customFormat="false" ht="15" hidden="false" customHeight="true" outlineLevel="0" collapsed="false">
      <c r="A3" s="4" t="s">
        <v>684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3"/>
      <c r="P3" s="3"/>
    </row>
    <row r="4" customFormat="false" ht="15" hidden="false" customHeight="tru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customFormat="false" ht="15" hidden="false" customHeight="true" outlineLevel="0" collapsed="false">
      <c r="A5" s="5" t="s">
        <v>685</v>
      </c>
      <c r="B5" s="5"/>
      <c r="C5" s="5"/>
      <c r="D5" s="5"/>
      <c r="E5" s="5"/>
      <c r="F5" s="5"/>
      <c r="G5" s="5"/>
      <c r="H5" s="5"/>
      <c r="I5" s="3"/>
      <c r="J5" s="3"/>
      <c r="K5" s="3"/>
      <c r="L5" s="3"/>
      <c r="M5" s="3"/>
      <c r="N5" s="3"/>
      <c r="O5" s="3"/>
      <c r="P5" s="3"/>
    </row>
    <row r="6" customFormat="false" ht="23.25" hidden="false" customHeight="true" outlineLevel="0" collapsed="false">
      <c r="A6" s="21" t="s">
        <v>686</v>
      </c>
      <c r="B6" s="21" t="s">
        <v>687</v>
      </c>
      <c r="C6" s="21" t="s">
        <v>79</v>
      </c>
      <c r="D6" s="21" t="s">
        <v>688</v>
      </c>
      <c r="E6" s="21" t="s">
        <v>689</v>
      </c>
      <c r="F6" s="21" t="s">
        <v>690</v>
      </c>
      <c r="G6" s="21" t="s">
        <v>691</v>
      </c>
      <c r="H6" s="21" t="s">
        <v>592</v>
      </c>
      <c r="I6" s="3"/>
      <c r="J6" s="3"/>
      <c r="K6" s="3"/>
      <c r="L6" s="3"/>
      <c r="M6" s="3"/>
      <c r="N6" s="3"/>
      <c r="O6" s="3"/>
      <c r="P6" s="3"/>
    </row>
    <row r="7" customFormat="false" ht="34.5" hidden="false" customHeight="true" outlineLevel="0" collapsed="false">
      <c r="A7" s="7" t="s">
        <v>692</v>
      </c>
      <c r="B7" s="7" t="n">
        <f aca="false">COUNTIFS(09_Data_GA4!$A:$A,"&gt;="&amp;00_Setup!$C$14,09_Data_GA4!$A:$A,"&lt;="&amp;00_Setup!$C$15)</f>
        <v>180</v>
      </c>
      <c r="C7" s="7" t="str">
        <f aca="false">IF(B7&gt;0,"PASS","FAIL")</f>
        <v>PASS</v>
      </c>
      <c r="D7" s="7" t="n">
        <f aca="false">C15-C14+1</f>
        <v>-30</v>
      </c>
      <c r="E7" s="7" t="n">
        <f aca="false">C17-C16+1</f>
        <v>-3149</v>
      </c>
      <c r="F7" s="7" t="n">
        <f aca="false">D7-E7</f>
        <v>3119</v>
      </c>
      <c r="G7" s="7" t="s">
        <v>693</v>
      </c>
      <c r="H7" s="7" t="s">
        <v>694</v>
      </c>
      <c r="I7" s="3"/>
      <c r="J7" s="3"/>
      <c r="K7" s="3"/>
      <c r="L7" s="3"/>
      <c r="M7" s="3"/>
      <c r="N7" s="3"/>
      <c r="O7" s="3"/>
      <c r="P7" s="3"/>
    </row>
    <row r="8" customFormat="false" ht="34.5" hidden="false" customHeight="true" outlineLevel="0" collapsed="false">
      <c r="A8" s="7" t="s">
        <v>695</v>
      </c>
      <c r="B8" s="7" t="n">
        <f aca="false">COUNTIFS(10_Data_GSC!$A:$A,"&gt;="&amp;00_Setup!$C$14,10_Data_GSC!$A:$A,"&lt;="&amp;00_Setup!$C$15)</f>
        <v>180</v>
      </c>
      <c r="C8" s="7" t="str">
        <f aca="false">IF(B8&gt;0,"PASS","FAIL")</f>
        <v>PASS</v>
      </c>
      <c r="D8" s="7" t="n">
        <f aca="false">C15-C14+1</f>
        <v>-30</v>
      </c>
      <c r="E8" s="7" t="n">
        <f aca="false">C17-C16+1</f>
        <v>-3149</v>
      </c>
      <c r="F8" s="7" t="n">
        <f aca="false">D8-E8</f>
        <v>3119</v>
      </c>
      <c r="G8" s="7" t="s">
        <v>693</v>
      </c>
      <c r="H8" s="7" t="s">
        <v>696</v>
      </c>
      <c r="I8" s="3"/>
      <c r="J8" s="3"/>
      <c r="K8" s="3"/>
      <c r="L8" s="3"/>
      <c r="M8" s="3"/>
      <c r="N8" s="3"/>
      <c r="O8" s="3"/>
      <c r="P8" s="3"/>
    </row>
    <row r="9" customFormat="false" ht="23.25" hidden="false" customHeight="true" outlineLevel="0" collapsed="false">
      <c r="A9" s="7" t="s">
        <v>697</v>
      </c>
      <c r="B9" s="7" t="n">
        <f aca="false">COUNTIFS(11_Data_Conversions!$B:$B,"&gt;="&amp;00_Setup!$C$14,11_Data_Conversions!$B:$B,"&lt;="&amp;00_Setup!$C$15)</f>
        <v>136</v>
      </c>
      <c r="C9" s="7" t="str">
        <f aca="false">IF(B9&gt;0,"PASS","FAIL")</f>
        <v>PASS</v>
      </c>
      <c r="D9" s="7" t="n">
        <f aca="false">C15-C14+1</f>
        <v>-30</v>
      </c>
      <c r="E9" s="7" t="n">
        <f aca="false">C17-C16+1</f>
        <v>-3149</v>
      </c>
      <c r="F9" s="7" t="n">
        <f aca="false">D9-E9</f>
        <v>3119</v>
      </c>
      <c r="G9" s="7" t="s">
        <v>698</v>
      </c>
      <c r="H9" s="7" t="s">
        <v>699</v>
      </c>
      <c r="I9" s="3"/>
      <c r="J9" s="3"/>
      <c r="K9" s="3"/>
      <c r="L9" s="3"/>
      <c r="M9" s="3"/>
      <c r="N9" s="3"/>
      <c r="O9" s="3"/>
      <c r="P9" s="3"/>
    </row>
    <row r="10" customFormat="false" ht="34.5" hidden="false" customHeight="true" outlineLevel="0" collapsed="false">
      <c r="A10" s="7" t="s">
        <v>700</v>
      </c>
      <c r="B10" s="7" t="n">
        <f aca="false">00_Setup!$C$15-00_Setup!$C$14+1</f>
        <v>30</v>
      </c>
      <c r="C10" s="7" t="str">
        <f aca="false">IF(F10=0,"PASS","CHECK")</f>
        <v>CHECK</v>
      </c>
      <c r="D10" s="7" t="n">
        <f aca="false">00_Setup!$C$15-00_Setup!$C$14+1</f>
        <v>30</v>
      </c>
      <c r="E10" s="7" t="n">
        <f aca="false">00_Setup!$C$17-00_Setup!$C$16+1</f>
        <v>31</v>
      </c>
      <c r="F10" s="7" t="n">
        <f aca="false">D10-E10</f>
        <v>-1</v>
      </c>
      <c r="G10" s="7" t="s">
        <v>701</v>
      </c>
      <c r="H10" s="7" t="s">
        <v>702</v>
      </c>
      <c r="I10" s="3"/>
      <c r="J10" s="3"/>
      <c r="K10" s="3"/>
      <c r="L10" s="3"/>
      <c r="M10" s="3"/>
      <c r="N10" s="3"/>
      <c r="O10" s="3"/>
      <c r="P10" s="3"/>
    </row>
    <row r="11" customFormat="false" ht="15" hidden="false" customHeight="tru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customFormat="false" ht="15" hidden="false" customHeight="true" outlineLevel="0" collapsed="false">
      <c r="A12" s="5" t="s">
        <v>703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3"/>
      <c r="P12" s="3"/>
    </row>
    <row r="13" customFormat="false" ht="23.25" hidden="false" customHeight="true" outlineLevel="0" collapsed="false">
      <c r="A13" s="21" t="s">
        <v>42</v>
      </c>
      <c r="B13" s="21" t="s">
        <v>704</v>
      </c>
      <c r="C13" s="21" t="s">
        <v>705</v>
      </c>
      <c r="D13" s="21" t="s">
        <v>706</v>
      </c>
      <c r="E13" s="21" t="s">
        <v>707</v>
      </c>
      <c r="F13" s="21" t="s">
        <v>708</v>
      </c>
      <c r="G13" s="21" t="s">
        <v>709</v>
      </c>
      <c r="H13" s="21" t="s">
        <v>710</v>
      </c>
      <c r="I13" s="21" t="s">
        <v>79</v>
      </c>
      <c r="J13" s="21" t="s">
        <v>711</v>
      </c>
      <c r="K13" s="21" t="s">
        <v>148</v>
      </c>
      <c r="L13" s="21" t="s">
        <v>80</v>
      </c>
      <c r="M13" s="21" t="s">
        <v>46</v>
      </c>
      <c r="N13" s="21" t="s">
        <v>47</v>
      </c>
      <c r="O13" s="3"/>
      <c r="P13" s="3"/>
    </row>
    <row r="14" customFormat="false" ht="15" hidden="false" customHeight="true" outlineLevel="0" collapsed="false">
      <c r="A14" s="7" t="s">
        <v>48</v>
      </c>
      <c r="B14" s="7" t="n">
        <f aca="false">COUNTIFS(11_Data_Conversions!$B:$B,"&gt;="&amp;00_Setup!$C$14,11_Data_Conversions!$B:$B,"&lt;="&amp;00_Setup!$C$15,11_Data_Conversions!$D:$D,"google",11_Data_Conversions!$E:$E,"organic")</f>
        <v>136</v>
      </c>
      <c r="C14" s="7" t="n">
        <f aca="false">COUNTIFS(11_Data_Conversions!$B:$B,"&gt;="&amp;00_Setup!$C$16,11_Data_Conversions!$B:$B,"&lt;="&amp;00_Setup!$C$17,11_Data_Conversions!$D:$D,"google",11_Data_Conversions!$E:$E,"organic")</f>
        <v>112</v>
      </c>
      <c r="D14" s="7" t="n">
        <f aca="false">COUNTIFS(11_Data_Conversions!$B:$B,"&gt;="&amp;00_Setup!$C$18,11_Data_Conversions!$B:$B,"&lt;="&amp;00_Setup!$C$19,11_Data_Conversions!$D:$D,"google",11_Data_Conversions!$E:$E,"organic")</f>
        <v>82</v>
      </c>
      <c r="E14" s="27" t="n">
        <f aca="false">IF(C14=0,"",B14/C14-1)</f>
        <v>0.214285714285714</v>
      </c>
      <c r="F14" s="27" t="n">
        <f aca="false">IF(D14=0,"",B14/D14-1)</f>
        <v>0.658536585365854</v>
      </c>
      <c r="G14" s="27" t="n">
        <v>150</v>
      </c>
      <c r="H14" s="27" t="n">
        <f aca="false">IF(G14=0,"",B14/G14)</f>
        <v>0.906666666666667</v>
      </c>
      <c r="I14" s="7" t="str">
        <f aca="false">IF(M14="Lower",IF(B14&lt;=G14,"On Track",IF(B14&lt;=G14*1.2,"Watch","At Risk")),IF(B14&gt;=G14,"On Track",IF(B14&gt;=G14*0.8,"Watch","At Risk")))</f>
        <v>Watch</v>
      </c>
      <c r="J14" s="7" t="s">
        <v>712</v>
      </c>
      <c r="K14" s="7" t="s">
        <v>713</v>
      </c>
      <c r="L14" s="7" t="s">
        <v>85</v>
      </c>
      <c r="M14" s="7" t="s">
        <v>49</v>
      </c>
      <c r="N14" s="7" t="s">
        <v>50</v>
      </c>
      <c r="O14" s="3"/>
      <c r="P14" s="3"/>
    </row>
    <row r="15" customFormat="false" ht="23.25" hidden="false" customHeight="true" outlineLevel="0" collapsed="false">
      <c r="A15" s="7" t="s">
        <v>51</v>
      </c>
      <c r="B15" s="7" t="n">
        <f aca="false">COUNTIFS(11_Data_Conversions!$B:$B,"&gt;="&amp;00_Setup!$C$14,11_Data_Conversions!$B:$B,"&lt;="&amp;00_Setup!$C$15,11_Data_Conversions!$J:$J,"Yes")</f>
        <v>100</v>
      </c>
      <c r="C15" s="7" t="n">
        <f aca="false">COUNTIFS(11_Data_Conversions!$B:$B,"&gt;="&amp;00_Setup!$C$16,11_Data_Conversions!$B:$B,"&lt;="&amp;00_Setup!$C$17,11_Data_Conversions!$J:$J,"Yes")</f>
        <v>81</v>
      </c>
      <c r="D15" s="7" t="n">
        <f aca="false">COUNTIFS(11_Data_Conversions!$B:$B,"&gt;="&amp;00_Setup!$C$18,11_Data_Conversions!$B:$B,"&lt;="&amp;00_Setup!$C$19,11_Data_Conversions!$J:$J,"Yes")</f>
        <v>64</v>
      </c>
      <c r="E15" s="27" t="n">
        <f aca="false">IF(C15=0,"",B15/C15-1)</f>
        <v>0.234567901234568</v>
      </c>
      <c r="F15" s="27" t="n">
        <f aca="false">IF(D15=0,"",B15/D15-1)</f>
        <v>0.5625</v>
      </c>
      <c r="G15" s="27" t="n">
        <v>105</v>
      </c>
      <c r="H15" s="27" t="n">
        <f aca="false">IF(G15=0,"",B15/G15)</f>
        <v>0.952380952380952</v>
      </c>
      <c r="I15" s="7" t="str">
        <f aca="false">IF(M15="Lower",IF(B15&lt;=G15,"On Track",IF(B15&lt;=G15*1.2,"Watch","At Risk")),IF(B15&gt;=G15,"On Track",IF(B15&gt;=G15*0.8,"Watch","At Risk")))</f>
        <v>Watch</v>
      </c>
      <c r="J15" s="7" t="s">
        <v>712</v>
      </c>
      <c r="K15" s="7" t="s">
        <v>713</v>
      </c>
      <c r="L15" s="7" t="s">
        <v>85</v>
      </c>
      <c r="M15" s="7" t="s">
        <v>49</v>
      </c>
      <c r="N15" s="7" t="s">
        <v>50</v>
      </c>
      <c r="O15" s="3"/>
      <c r="P15" s="3"/>
    </row>
    <row r="16" customFormat="false" ht="15" hidden="false" customHeight="true" outlineLevel="0" collapsed="false">
      <c r="A16" s="7" t="s">
        <v>52</v>
      </c>
      <c r="B16" s="7" t="n">
        <f aca="false">SUMIFS(09_Data_GA4!$I:$I,09_Data_GA4!$A:$A,"&gt;="&amp;00_Setup!$C$14,09_Data_GA4!$A:$A,"&lt;="&amp;00_Setup!$C$15,09_Data_GA4!$D:$D,"google",09_Data_GA4!$E:$E,"organic")</f>
        <v>8748</v>
      </c>
      <c r="C16" s="7" t="n">
        <f aca="false">SUMIFS(09_Data_GA4!$I:$I,09_Data_GA4!$A:$A,"&gt;="&amp;00_Setup!$C$16,09_Data_GA4!$A:$A,"&lt;="&amp;00_Setup!$C$17,09_Data_GA4!$D:$D,"google",09_Data_GA4!$E:$E,"organic")</f>
        <v>8103</v>
      </c>
      <c r="D16" s="7" t="n">
        <f aca="false">SUMIFS(09_Data_GA4!$I:$I,09_Data_GA4!$A:$A,"&gt;="&amp;00_Setup!$C$18,09_Data_GA4!$A:$A,"&lt;="&amp;00_Setup!$C$19,09_Data_GA4!$D:$D,"google",09_Data_GA4!$E:$E,"organic")</f>
        <v>6751</v>
      </c>
      <c r="E16" s="27" t="n">
        <f aca="false">IF(C16=0,"",B16/C16-1)</f>
        <v>0.0796001480932989</v>
      </c>
      <c r="F16" s="27" t="n">
        <f aca="false">IF(D16=0,"",B16/D16-1)</f>
        <v>0.295808028440231</v>
      </c>
      <c r="G16" s="27" t="n">
        <v>18000</v>
      </c>
      <c r="H16" s="27" t="n">
        <f aca="false">IF(G16=0,"",B16/G16)</f>
        <v>0.486</v>
      </c>
      <c r="I16" s="7" t="str">
        <f aca="false">IF(M16="Lower",IF(B16&lt;=G16,"On Track",IF(B16&lt;=G16*1.2,"Watch","At Risk")),IF(B16&gt;=G16,"On Track",IF(B16&gt;=G16*0.8,"Watch","At Risk")))</f>
        <v>At Risk</v>
      </c>
      <c r="J16" s="7" t="s">
        <v>714</v>
      </c>
      <c r="K16" s="7" t="s">
        <v>715</v>
      </c>
      <c r="L16" s="7" t="s">
        <v>90</v>
      </c>
      <c r="M16" s="7" t="s">
        <v>49</v>
      </c>
      <c r="N16" s="7" t="s">
        <v>50</v>
      </c>
      <c r="O16" s="3"/>
      <c r="P16" s="3"/>
    </row>
    <row r="17" customFormat="false" ht="15" hidden="false" customHeight="true" outlineLevel="0" collapsed="false">
      <c r="A17" s="7" t="s">
        <v>53</v>
      </c>
      <c r="B17" s="7" t="n">
        <f aca="false">SUMIFS(10_Data_GSC!$F:$F,10_Data_GSC!$A:$A,"&gt;="&amp;00_Setup!$C$14,10_Data_GSC!$A:$A,"&lt;="&amp;00_Setup!$C$15)</f>
        <v>7019</v>
      </c>
      <c r="C17" s="7" t="n">
        <f aca="false">SUMIFS(10_Data_GSC!$F:$F,10_Data_GSC!$A:$A,"&gt;="&amp;00_Setup!$C$16,10_Data_GSC!$A:$A,"&lt;="&amp;00_Setup!$C$17)</f>
        <v>4953</v>
      </c>
      <c r="D17" s="7" t="n">
        <f aca="false">SUMIFS(10_Data_GSC!$F:$F,10_Data_GSC!$A:$A,"&gt;="&amp;00_Setup!$C$18,10_Data_GSC!$A:$A,"&lt;="&amp;00_Setup!$C$19)</f>
        <v>2624</v>
      </c>
      <c r="E17" s="27" t="n">
        <f aca="false">IF(C17=0,"",B17/C17-1)</f>
        <v>0.417120936805976</v>
      </c>
      <c r="F17" s="27" t="n">
        <f aca="false">IF(D17=0,"",B17/D17-1)</f>
        <v>1.6749237804878</v>
      </c>
      <c r="G17" s="27" t="n">
        <v>9500</v>
      </c>
      <c r="H17" s="27" t="n">
        <f aca="false">IF(G17=0,"",B17/G17)</f>
        <v>0.738842105263158</v>
      </c>
      <c r="I17" s="7" t="str">
        <f aca="false">IF(M17="Lower",IF(B17&lt;=G17,"On Track",IF(B17&lt;=G17*1.2,"Watch","At Risk")),IF(B17&gt;=G17,"On Track",IF(B17&gt;=G17*0.8,"Watch","At Risk")))</f>
        <v>At Risk</v>
      </c>
      <c r="J17" s="7" t="s">
        <v>716</v>
      </c>
      <c r="K17" s="7" t="s">
        <v>717</v>
      </c>
      <c r="L17" s="7" t="s">
        <v>90</v>
      </c>
      <c r="M17" s="7" t="s">
        <v>49</v>
      </c>
      <c r="N17" s="7" t="s">
        <v>50</v>
      </c>
      <c r="O17" s="3"/>
      <c r="P17" s="3"/>
    </row>
    <row r="18" customFormat="false" ht="23.25" hidden="false" customHeight="true" outlineLevel="0" collapsed="false">
      <c r="A18" s="7" t="s">
        <v>54</v>
      </c>
      <c r="B18" s="27" t="n">
        <f aca="false">B14/B16</f>
        <v>0.015546410608139</v>
      </c>
      <c r="C18" s="27" t="n">
        <f aca="false">C14/C16</f>
        <v>0.0138220412193015</v>
      </c>
      <c r="D18" s="27" t="n">
        <f aca="false">D14/D16</f>
        <v>0.0121463486890831</v>
      </c>
      <c r="E18" s="27" t="n">
        <f aca="false">IF(C18=0,"",B18/C18-1)</f>
        <v>0.124755046051342</v>
      </c>
      <c r="F18" s="27" t="n">
        <f aca="false">IF(D18=0,"",B18/D18-1)</f>
        <v>0.279924609945688</v>
      </c>
      <c r="G18" s="27" t="n">
        <v>0.009</v>
      </c>
      <c r="H18" s="27" t="n">
        <f aca="false">IF(G18=0,"",B18/G18)</f>
        <v>1.72737895645989</v>
      </c>
      <c r="I18" s="7" t="str">
        <f aca="false">IF(M18="Lower",IF(B18&lt;=G18,"On Track",IF(B18&lt;=G18*1.2,"Watch","At Risk")),IF(B18&gt;=G18,"On Track",IF(B18&gt;=G18*0.8,"Watch","At Risk")))</f>
        <v>On Track</v>
      </c>
      <c r="J18" s="7" t="s">
        <v>718</v>
      </c>
      <c r="K18" s="7" t="s">
        <v>719</v>
      </c>
      <c r="L18" s="7" t="s">
        <v>85</v>
      </c>
      <c r="M18" s="7" t="s">
        <v>49</v>
      </c>
      <c r="N18" s="7" t="s">
        <v>50</v>
      </c>
      <c r="O18" s="3"/>
      <c r="P18" s="3"/>
    </row>
    <row r="19" customFormat="false" ht="23.25" hidden="false" customHeight="true" outlineLevel="0" collapsed="false">
      <c r="A19" s="7" t="s">
        <v>720</v>
      </c>
      <c r="B19" s="27" t="n">
        <f aca="false">B15/B14</f>
        <v>0.735294117647059</v>
      </c>
      <c r="C19" s="27" t="n">
        <f aca="false">C15/C14</f>
        <v>0.723214285714286</v>
      </c>
      <c r="D19" s="27" t="n">
        <f aca="false">D15/D14</f>
        <v>0.780487804878049</v>
      </c>
      <c r="E19" s="27" t="n">
        <f aca="false">IF(C19=0,"",B19/C19-1)</f>
        <v>0.0167029774872913</v>
      </c>
      <c r="F19" s="27" t="n">
        <f aca="false">IF(D19=0,"",B19/D19-1)</f>
        <v>-0.0579044117647058</v>
      </c>
      <c r="G19" s="27" t="n">
        <v>0.7</v>
      </c>
      <c r="H19" s="27" t="n">
        <f aca="false">IF(G19=0,"",B19/G19)</f>
        <v>1.05042016806723</v>
      </c>
      <c r="I19" s="7" t="str">
        <f aca="false">IF(M19="Lower",IF(B19&lt;=G19,"On Track",IF(B19&lt;=G19*1.2,"Watch","At Risk")),IF(B19&gt;=G19,"On Track",IF(B19&gt;=G19*0.8,"Watch","At Risk")))</f>
        <v>On Track</v>
      </c>
      <c r="J19" s="7" t="s">
        <v>718</v>
      </c>
      <c r="K19" s="7" t="s">
        <v>719</v>
      </c>
      <c r="L19" s="7" t="s">
        <v>90</v>
      </c>
      <c r="M19" s="7" t="s">
        <v>49</v>
      </c>
      <c r="N19" s="7" t="s">
        <v>50</v>
      </c>
      <c r="O19" s="3"/>
      <c r="P19" s="3"/>
    </row>
    <row r="20" customFormat="false" ht="15" hidden="false" customHeight="true" outlineLevel="0" collapsed="false">
      <c r="A20" s="7" t="s">
        <v>58</v>
      </c>
      <c r="B20" s="27" t="n">
        <f aca="false">SUMIFS(10_Data_GSC!$F:$F,10_Data_GSC!$A:$A,"&gt;="&amp;00_Setup!$C$14,10_Data_GSC!$A:$A,"&lt;="&amp;00_Setup!$C$15,10_Data_GSC!$J:$J,"Non-brand")/B17</f>
        <v>0.277247471149736</v>
      </c>
      <c r="C20" s="27" t="n">
        <f aca="false">SUMIFS(10_Data_GSC!$F:$F,10_Data_GSC!$A:$A,"&gt;="&amp;00_Setup!$C$16,10_Data_GSC!$A:$A,"&lt;="&amp;00_Setup!$C$17,10_Data_GSC!$J:$J,"Non-brand")/C17</f>
        <v>0.368463557439935</v>
      </c>
      <c r="D20" s="27" t="n">
        <f aca="false">SUMIFS(10_Data_GSC!$F:$F,10_Data_GSC!$A:$A,"&gt;="&amp;00_Setup!$C$18,10_Data_GSC!$A:$A,"&lt;="&amp;00_Setup!$C$19,10_Data_GSC!$J:$J,"Non-brand")/D17</f>
        <v>0.530487804878049</v>
      </c>
      <c r="E20" s="27" t="n">
        <f aca="false">IF(C20=0,"",B20/C20-1)</f>
        <v>-0.247557959120743</v>
      </c>
      <c r="F20" s="27" t="n">
        <f aca="false">IF(D20=0,"",B20/D20-1)</f>
        <v>-0.477372583120037</v>
      </c>
      <c r="G20" s="27" t="n">
        <v>0.7</v>
      </c>
      <c r="H20" s="27" t="n">
        <f aca="false">IF(G20=0,"",B20/G20)</f>
        <v>0.396067815928195</v>
      </c>
      <c r="I20" s="7" t="str">
        <f aca="false">IF(M20="Lower",IF(B20&lt;=G20,"On Track",IF(B20&lt;=G20*1.2,"Watch","At Risk")),IF(B20&gt;=G20,"On Track",IF(B20&gt;=G20*0.8,"Watch","At Risk")))</f>
        <v>At Risk</v>
      </c>
      <c r="J20" s="7" t="s">
        <v>716</v>
      </c>
      <c r="K20" s="7" t="s">
        <v>719</v>
      </c>
      <c r="L20" s="7" t="s">
        <v>90</v>
      </c>
      <c r="M20" s="7" t="s">
        <v>49</v>
      </c>
      <c r="N20" s="7" t="s">
        <v>50</v>
      </c>
      <c r="O20" s="3"/>
      <c r="P20" s="3"/>
    </row>
    <row r="21" customFormat="false" ht="15.75" hidden="false" customHeight="true" outlineLevel="0" collapsed="false">
      <c r="A21" s="7" t="s">
        <v>66</v>
      </c>
      <c r="B21" s="28" t="n">
        <f aca="false">IFERROR(SUMIFS(13_Data_Technical_Content!$H:$H,13_Data_Technical_Content!$G:$G,"Indexed URLs",13_Data_Technical_Content!$A:$A,"&gt;="&amp;00_Setup!$C$14,13_Data_Technical_Content!$A:$A,"&lt;="&amp;00_Setup!$C$15)/SUMIFS(13_Data_Technical_Content!$H:$H,13_Data_Technical_Content!$G:$G,"Indexable URLs",13_Data_Technical_Content!$A:$A,"&gt;="&amp;00_Setup!$C$14,13_Data_Technical_Content!$A:$A,"&lt;="&amp;00_Setup!$C$15),"")</f>
        <v>0.975</v>
      </c>
      <c r="C21" s="29" t="str">
        <f aca="false">IFERROR(SUMIFS(13_Data_Technical_Content!$H:$H,13_Data_Technical_Content!$G:$G,"Indexed URLs",13_Data_Technical_Content!$A:$A,"&gt;="&amp;00_Setup!$C$16,13_Data_Technical_Content!$A:$A,"&lt;="&amp;00_Setup!$C$17)/SUMIFS(13_Data_Technical_Content!$H:$H,13_Data_Technical_Content!$G:$G,"Indexable URLs",13_Data_Technical_Content!$A:$A,"&gt;="&amp;00_Setup!$C$16,13_Data_Technical_Content!$A:$A,"&lt;="&amp;00_Setup!$C$17),"")</f>
        <v/>
      </c>
      <c r="D21" s="29" t="str">
        <f aca="false">IFERROR(SUMIFS(13_Data_Technical_Content!$H:$H,13_Data_Technical_Content!$G:$G,"Indexed URLs",13_Data_Technical_Content!$A:$A,"&gt;="&amp;00_Setup!$C$18,13_Data_Technical_Content!$A:$A,"&lt;="&amp;00_Setup!$C$19)/SUMIFS(13_Data_Technical_Content!$H:$H,13_Data_Technical_Content!$G:$G,"Indexable URLs",13_Data_Technical_Content!$A:$A,"&gt;="&amp;00_Setup!$C$18,13_Data_Technical_Content!$A:$A,"&lt;="&amp;00_Setup!$C$19),"")</f>
        <v/>
      </c>
      <c r="E21" s="30" t="str">
        <f aca="false">IF(OR(C21="",C21=0),"",B21/C21-1)</f>
        <v/>
      </c>
      <c r="F21" s="30" t="str">
        <f aca="false">IF(OR(D21="",D21=0),"",B21/D21-1)</f>
        <v/>
      </c>
      <c r="G21" s="27" t="n">
        <v>0.97</v>
      </c>
      <c r="H21" s="27" t="n">
        <f aca="false">IF(G21=0,"",B21/G21)</f>
        <v>1.00515463917526</v>
      </c>
      <c r="I21" s="7" t="str">
        <f aca="false">IF(M21="Lower",IF(B21&lt;=G21,"On Track",IF(B21&lt;=G21*1.2,"Watch","At Risk")),IF(B21&gt;=G21,"On Track",IF(B21&gt;=G21*0.8,"Watch","At Risk")))</f>
        <v>On Track</v>
      </c>
      <c r="J21" s="7" t="s">
        <v>569</v>
      </c>
      <c r="K21" s="7" t="s">
        <v>721</v>
      </c>
      <c r="L21" s="7" t="s">
        <v>90</v>
      </c>
      <c r="M21" s="7" t="s">
        <v>49</v>
      </c>
      <c r="N21" s="7" t="s">
        <v>50</v>
      </c>
      <c r="O21" s="3"/>
      <c r="P21" s="3"/>
    </row>
    <row r="22" customFormat="false" ht="15.75" hidden="false" customHeight="true" outlineLevel="0" collapsed="false">
      <c r="A22" s="7" t="s">
        <v>70</v>
      </c>
      <c r="B22" s="28" t="n">
        <f aca="false">IFERROR(SUMIFS(13_Data_Technical_Content!$H:$H,13_Data_Technical_Content!$G:$G,"CWV Good URLs",13_Data_Technical_Content!$A:$A,"&gt;="&amp;00_Setup!$C$14,13_Data_Technical_Content!$A:$A,"&lt;="&amp;00_Setup!$C$15)/SUMIFS(13_Data_Technical_Content!$H:$H,13_Data_Technical_Content!$G:$G,"CWV Evaluated URLs",13_Data_Technical_Content!$A:$A,"&gt;="&amp;00_Setup!$C$14,13_Data_Technical_Content!$A:$A,"&lt;="&amp;00_Setup!$C$15),"")</f>
        <v>0.888888888888889</v>
      </c>
      <c r="C22" s="29" t="str">
        <f aca="false">IFERROR(SUMIFS(13_Data_Technical_Content!$H:$H,13_Data_Technical_Content!$G:$G,"CWV Good URLs",13_Data_Technical_Content!$A:$A,"&gt;="&amp;00_Setup!$C$16,13_Data_Technical_Content!$A:$A,"&lt;="&amp;00_Setup!$C$17)/SUMIFS(13_Data_Technical_Content!$H:$H,13_Data_Technical_Content!$G:$G,"CWV Evaluated URLs",13_Data_Technical_Content!$A:$A,"&gt;="&amp;00_Setup!$C$16,13_Data_Technical_Content!$A:$A,"&lt;="&amp;00_Setup!$C$17),"")</f>
        <v/>
      </c>
      <c r="D22" s="29" t="str">
        <f aca="false">IFERROR(SUMIFS(13_Data_Technical_Content!$H:$H,13_Data_Technical_Content!$G:$G,"CWV Good URLs",13_Data_Technical_Content!$A:$A,"&gt;="&amp;00_Setup!$C$18,13_Data_Technical_Content!$A:$A,"&lt;="&amp;00_Setup!$C$19)/SUMIFS(13_Data_Technical_Content!$H:$H,13_Data_Technical_Content!$G:$G,"CWV Evaluated URLs",13_Data_Technical_Content!$A:$A,"&gt;="&amp;00_Setup!$C$18,13_Data_Technical_Content!$A:$A,"&lt;="&amp;00_Setup!$C$19),"")</f>
        <v/>
      </c>
      <c r="E22" s="30" t="str">
        <f aca="false">IF(OR(C22="",C22=0),"",B22/C22-1)</f>
        <v/>
      </c>
      <c r="F22" s="30" t="str">
        <f aca="false">IF(OR(D22="",D22=0),"",B22/D22-1)</f>
        <v/>
      </c>
      <c r="G22" s="27" t="n">
        <v>0.9</v>
      </c>
      <c r="H22" s="27" t="n">
        <f aca="false">IF(G22=0,"",B22/G22)</f>
        <v>0.987654320987654</v>
      </c>
      <c r="I22" s="7" t="str">
        <f aca="false">IF(M22="Lower",IF(B22&lt;=G22,"On Track",IF(B22&lt;=G22*1.2,"Watch","At Risk")),IF(B22&gt;=G22,"On Track",IF(B22&gt;=G22*0.8,"Watch","At Risk")))</f>
        <v>Watch</v>
      </c>
      <c r="J22" s="7" t="s">
        <v>569</v>
      </c>
      <c r="K22" s="7" t="s">
        <v>722</v>
      </c>
      <c r="L22" s="7" t="s">
        <v>90</v>
      </c>
      <c r="M22" s="7" t="s">
        <v>49</v>
      </c>
      <c r="N22" s="7" t="s">
        <v>50</v>
      </c>
      <c r="O22" s="3"/>
      <c r="P22" s="3"/>
    </row>
    <row r="23" customFormat="false" ht="15.75" hidden="false" customHeight="true" outlineLevel="0" collapsed="false">
      <c r="A23" s="7" t="s">
        <v>73</v>
      </c>
      <c r="B23" s="31" t="n">
        <f aca="false">IFERROR(SUMIFS(13_Data_Technical_Content!$H:$H,13_Data_Technical_Content!$G:$G,"Critical Issue URLs",13_Data_Technical_Content!$A:$A,"&gt;="&amp;00_Setup!$C$14,13_Data_Technical_Content!$A:$A,"&lt;="&amp;00_Setup!$C$15)/SUMIFS(13_Data_Technical_Content!$H:$H,13_Data_Technical_Content!$G:$G,"Crawled URLs",13_Data_Technical_Content!$A:$A,"&gt;="&amp;00_Setup!$C$14,13_Data_Technical_Content!$A:$A,"&lt;="&amp;00_Setup!$C$15),"")</f>
        <v>0.0118421052631579</v>
      </c>
      <c r="C23" s="32" t="str">
        <f aca="false">IFERROR(SUMIFS(13_Data_Technical_Content!$H:$H,13_Data_Technical_Content!$G:$G,"Critical Issue URLs",13_Data_Technical_Content!$A:$A,"&gt;="&amp;00_Setup!$C$16,13_Data_Technical_Content!$A:$A,"&lt;="&amp;00_Setup!$C$17)/SUMIFS(13_Data_Technical_Content!$H:$H,13_Data_Technical_Content!$G:$G,"Crawled URLs",13_Data_Technical_Content!$A:$A,"&gt;="&amp;00_Setup!$C$16,13_Data_Technical_Content!$A:$A,"&lt;="&amp;00_Setup!$C$17),"")</f>
        <v/>
      </c>
      <c r="D23" s="32" t="str">
        <f aca="false">IFERROR(SUMIFS(13_Data_Technical_Content!$H:$H,13_Data_Technical_Content!$G:$G,"Critical Issue URLs",13_Data_Technical_Content!$A:$A,"&gt;="&amp;00_Setup!$C$18,13_Data_Technical_Content!$A:$A,"&lt;="&amp;00_Setup!$C$19)/SUMIFS(13_Data_Technical_Content!$H:$H,13_Data_Technical_Content!$G:$G,"Crawled URLs",13_Data_Technical_Content!$A:$A,"&gt;="&amp;00_Setup!$C$18,13_Data_Technical_Content!$A:$A,"&lt;="&amp;00_Setup!$C$19),"")</f>
        <v/>
      </c>
      <c r="E23" s="30" t="str">
        <f aca="false">IF(OR(C23="",C23=0),"",B23/C23-1)</f>
        <v/>
      </c>
      <c r="F23" s="30" t="str">
        <f aca="false">IF(OR(D23="",D23=0),"",B23/D23-1)</f>
        <v/>
      </c>
      <c r="G23" s="22" t="n">
        <v>0.01</v>
      </c>
      <c r="H23" s="27" t="n">
        <f aca="false">IF(G23=0,"",B23/G23)</f>
        <v>1.18421052631579</v>
      </c>
      <c r="I23" s="7" t="str">
        <f aca="false">IF(M23="Lower",IF(B23&lt;=G23,"On Track",IF(B23&lt;=G23*1.2,"Watch","At Risk")),IF(B23&gt;=G23,"On Track",IF(B23&gt;=G23*0.8,"Watch","At Risk")))</f>
        <v>Watch</v>
      </c>
      <c r="J23" s="7" t="s">
        <v>569</v>
      </c>
      <c r="K23" s="7" t="s">
        <v>723</v>
      </c>
      <c r="L23" s="7" t="s">
        <v>90</v>
      </c>
      <c r="M23" s="7" t="s">
        <v>77</v>
      </c>
      <c r="N23" s="7" t="s">
        <v>50</v>
      </c>
      <c r="O23" s="3"/>
      <c r="P23" s="3"/>
    </row>
    <row r="24" customFormat="false" ht="15.75" hidden="false" customHeight="true" outlineLevel="0" collapsed="false">
      <c r="A24" s="7" t="s">
        <v>724</v>
      </c>
      <c r="B24" s="7" t="n">
        <f aca="false">SUMIFS(11_Data_Conversions!$L:$L,11_Data_Conversions!$B:$B,"&gt;="&amp;00_Setup!$C$14,11_Data_Conversions!$B:$B,"&lt;="&amp;00_Setup!$C$15)</f>
        <v>1720118</v>
      </c>
      <c r="C24" s="7" t="n">
        <f aca="false">SUMIFS(11_Data_Conversions!$L:$L,11_Data_Conversions!$B:$B,"&gt;="&amp;00_Setup!$C$16,11_Data_Conversions!$B:$B,"&lt;="&amp;00_Setup!$C$17)</f>
        <v>1347897</v>
      </c>
      <c r="D24" s="7" t="n">
        <f aca="false">SUMIFS(11_Data_Conversions!$L:$L,11_Data_Conversions!$B:$B,"&gt;="&amp;00_Setup!$C$18,11_Data_Conversions!$B:$B,"&lt;="&amp;00_Setup!$C$19)</f>
        <v>1102097</v>
      </c>
      <c r="E24" s="27" t="n">
        <f aca="false">IF(C24=0,"",B24/C24-1)</f>
        <v>0.27614943871824</v>
      </c>
      <c r="F24" s="27" t="n">
        <f aca="false">IF(D24=0,"",B24/D24-1)</f>
        <v>0.560768244537459</v>
      </c>
      <c r="G24" s="27" t="n">
        <v>1500000</v>
      </c>
      <c r="H24" s="27" t="n">
        <f aca="false">IF(G24=0,"",B24/G24)</f>
        <v>1.14674533333333</v>
      </c>
      <c r="I24" s="7" t="str">
        <f aca="false">IF(M24="Lower",IF(B24&lt;=G24,"On Track",IF(B24&lt;=G24*1.2,"Watch","At Risk")),IF(B24&gt;=G24,"On Track",IF(B24&gt;=G24*0.8,"Watch","At Risk")))</f>
        <v>On Track</v>
      </c>
      <c r="J24" s="7" t="s">
        <v>725</v>
      </c>
      <c r="K24" s="7" t="s">
        <v>713</v>
      </c>
      <c r="L24" s="7" t="s">
        <v>85</v>
      </c>
      <c r="M24" s="7" t="s">
        <v>49</v>
      </c>
      <c r="N24" s="7" t="s">
        <v>50</v>
      </c>
      <c r="O24" s="3"/>
      <c r="P24" s="3"/>
    </row>
    <row r="25" customFormat="false" ht="15.75" hidden="false" customHeight="true" outlineLevel="0" collapsed="false">
      <c r="A25" s="33" t="s">
        <v>726</v>
      </c>
      <c r="B25" s="34" t="n">
        <f aca="false">COUNTIFS(11_Data_Conversions!$B:$B,"&gt;="&amp;00_Setup!$C$14,11_Data_Conversions!$B:$B,"&lt;="&amp;00_Setup!$C$15,11_Data_Conversions!$K:$K,"Yes")</f>
        <v>16</v>
      </c>
      <c r="C25" s="34" t="n">
        <f aca="false">COUNTIFS(11_Data_Conversions!$B:$B,"&gt;="&amp;00_Setup!$C$16,11_Data_Conversions!$B:$B,"&lt;="&amp;00_Setup!$C$17,11_Data_Conversions!$K:$K,"Yes")</f>
        <v>20</v>
      </c>
      <c r="D25" s="34" t="n">
        <f aca="false">COUNTIFS(11_Data_Conversions!$B:$B,"&gt;="&amp;00_Setup!$C$18,11_Data_Conversions!$B:$B,"&lt;="&amp;00_Setup!$C$19,11_Data_Conversions!$K:$K,"Yes")</f>
        <v>15</v>
      </c>
      <c r="E25" s="35" t="n">
        <f aca="false">IF(OR(C25="",C25=0),"",B25/C25-1)</f>
        <v>-0.2</v>
      </c>
      <c r="F25" s="35" t="n">
        <f aca="false">IF(OR(D25="",D25=0),"",B25/D25-1)</f>
        <v>0.0666666666666667</v>
      </c>
      <c r="G25" s="36"/>
      <c r="H25" s="37" t="str">
        <f aca="false">IF(G25="","",IF(G25=0,"",B25/G25))</f>
        <v/>
      </c>
      <c r="I25" s="37" t="str">
        <f aca="false">IF(B25="","",IF(G25="","No target",IF(M25="Lower",IF(B25&lt;=G25,"On Track",IF(B25&lt;=G25*1.2,"Watch","At Risk")),IF(B25&gt;=G25,"On Track",IF(B25&gt;=G25*0.8,"Watch","At Risk")))))</f>
        <v>No target</v>
      </c>
      <c r="J25" s="37" t="s">
        <v>718</v>
      </c>
      <c r="K25" s="37" t="s">
        <v>713</v>
      </c>
      <c r="L25" s="37" t="s">
        <v>85</v>
      </c>
      <c r="M25" s="37" t="s">
        <v>49</v>
      </c>
      <c r="N25" s="37" t="s">
        <v>50</v>
      </c>
      <c r="O25" s="3"/>
      <c r="P25" s="3"/>
    </row>
    <row r="26" customFormat="false" ht="15.75" hidden="false" customHeight="true" outlineLevel="0" collapsed="false">
      <c r="A26" s="33" t="s">
        <v>727</v>
      </c>
      <c r="B26" s="38" t="n">
        <f aca="false">IF(B15=0,"",B25/B15)</f>
        <v>0.16</v>
      </c>
      <c r="C26" s="38" t="n">
        <f aca="false">IF(C15=0,"",C25/C15)</f>
        <v>0.246913580246914</v>
      </c>
      <c r="D26" s="38" t="n">
        <f aca="false">IF(D15=0,"",D25/D15)</f>
        <v>0.234375</v>
      </c>
      <c r="E26" s="35" t="n">
        <f aca="false">IF(OR(C26="",C26=0),"",B26/C26-1)</f>
        <v>-0.352</v>
      </c>
      <c r="F26" s="35" t="n">
        <f aca="false">IF(OR(D26="",D26=0),"",B26/D26-1)</f>
        <v>-0.317333333333333</v>
      </c>
      <c r="G26" s="35" t="n">
        <v>0.2</v>
      </c>
      <c r="H26" s="37" t="n">
        <f aca="false">IF(G26="","",IF(G26=0,"",B26/G26))</f>
        <v>0.8</v>
      </c>
      <c r="I26" s="37" t="str">
        <f aca="false">IF(B26="","",IF(G26="","No target",IF(M26="Lower",IF(B26&lt;=G26,"On Track",IF(B26&lt;=G26*1.2,"Watch","At Risk")),IF(B26&gt;=G26,"On Track",IF(B26&gt;=G26*0.8,"Watch","At Risk")))))</f>
        <v>Watch</v>
      </c>
      <c r="J26" s="37" t="s">
        <v>718</v>
      </c>
      <c r="K26" s="37" t="s">
        <v>719</v>
      </c>
      <c r="L26" s="37" t="s">
        <v>85</v>
      </c>
      <c r="M26" s="37" t="s">
        <v>49</v>
      </c>
      <c r="N26" s="37" t="s">
        <v>50</v>
      </c>
      <c r="O26" s="3"/>
      <c r="P26" s="3"/>
    </row>
    <row r="27" customFormat="false" ht="15.75" hidden="false" customHeight="true" outlineLevel="0" collapsed="false">
      <c r="A27" s="33" t="s">
        <v>728</v>
      </c>
      <c r="B27" s="34" t="n">
        <f aca="false">SUMIFS(10_Data_GSC!$F:$F,10_Data_GSC!$A:$A,"&gt;="&amp;00_Setup!$C$14,10_Data_GSC!$A:$A,"&lt;="&amp;00_Setup!$C$15,10_Data_GSC!$J:$J,"Non-brand")</f>
        <v>1946</v>
      </c>
      <c r="C27" s="34" t="n">
        <f aca="false">SUMIFS(10_Data_GSC!$F:$F,10_Data_GSC!$A:$A,"&gt;="&amp;00_Setup!$C$16,10_Data_GSC!$A:$A,"&lt;="&amp;00_Setup!$C$17,10_Data_GSC!$J:$J,"Non-brand")</f>
        <v>1825</v>
      </c>
      <c r="D27" s="34" t="n">
        <f aca="false">SUMIFS(10_Data_GSC!$F:$F,10_Data_GSC!$A:$A,"&gt;="&amp;00_Setup!$C$18,10_Data_GSC!$A:$A,"&lt;="&amp;00_Setup!$C$19,10_Data_GSC!$J:$J,"Non-brand")</f>
        <v>1392</v>
      </c>
      <c r="E27" s="35" t="n">
        <f aca="false">IF(OR(C27="",C27=0),"",B27/C27-1)</f>
        <v>0.0663013698630137</v>
      </c>
      <c r="F27" s="35" t="n">
        <f aca="false">IF(OR(D27="",D27=0),"",B27/D27-1)</f>
        <v>0.397988505747126</v>
      </c>
      <c r="G27" s="36" t="n">
        <v>2300</v>
      </c>
      <c r="H27" s="37" t="n">
        <f aca="false">IF(G27="","",IF(G27=0,"",B27/G27))</f>
        <v>0.846086956521739</v>
      </c>
      <c r="I27" s="37" t="str">
        <f aca="false">IF(B27="","",IF(G27="","No target",IF(M27="Lower",IF(B27&lt;=G27,"On Track",IF(B27&lt;=G27*1.2,"Watch","At Risk")),IF(B27&gt;=G27,"On Track",IF(B27&gt;=G27*0.8,"Watch","At Risk")))))</f>
        <v>Watch</v>
      </c>
      <c r="J27" s="37" t="s">
        <v>716</v>
      </c>
      <c r="K27" s="37" t="s">
        <v>717</v>
      </c>
      <c r="L27" s="37" t="s">
        <v>90</v>
      </c>
      <c r="M27" s="37" t="s">
        <v>49</v>
      </c>
      <c r="N27" s="37" t="s">
        <v>50</v>
      </c>
      <c r="O27" s="3"/>
      <c r="P27" s="3"/>
    </row>
    <row r="28" customFormat="false" ht="15.75" hidden="false" customHeight="true" outlineLevel="0" collapsed="false">
      <c r="A28" s="33" t="s">
        <v>729</v>
      </c>
      <c r="B28" s="34" t="n">
        <f aca="false">00_Setup!$C$47</f>
        <v>60000</v>
      </c>
      <c r="C28" s="34" t="n">
        <f aca="false">00_Setup!$C$47</f>
        <v>60000</v>
      </c>
      <c r="D28" s="34" t="n">
        <f aca="false">00_Setup!$C$47</f>
        <v>60000</v>
      </c>
      <c r="E28" s="35" t="n">
        <f aca="false">IF(OR(C28="",C28=0),"",B28/C28-1)</f>
        <v>0</v>
      </c>
      <c r="F28" s="35" t="n">
        <f aca="false">IF(OR(D28="",D28=0),"",B28/D28-1)</f>
        <v>0</v>
      </c>
      <c r="G28" s="36"/>
      <c r="H28" s="37" t="str">
        <f aca="false">IF(G28="","",IF(G28=0,"",B28/G28))</f>
        <v/>
      </c>
      <c r="I28" s="37" t="str">
        <f aca="false">IF(B28="","",IF(G28="","No target",IF(M28="Lower",IF(B28&lt;=G28,"On Track",IF(B28&lt;=G28*1.2,"Watch","At Risk")),IF(B28&gt;=G28,"On Track",IF(B28&gt;=G28*0.8,"Watch","At Risk")))))</f>
        <v>No target</v>
      </c>
      <c r="J28" s="37" t="s">
        <v>730</v>
      </c>
      <c r="K28" s="37" t="s">
        <v>731</v>
      </c>
      <c r="L28" s="37" t="s">
        <v>95</v>
      </c>
      <c r="M28" s="37" t="s">
        <v>77</v>
      </c>
      <c r="N28" s="37" t="s">
        <v>205</v>
      </c>
      <c r="O28" s="3"/>
      <c r="P28" s="3"/>
    </row>
    <row r="29" customFormat="false" ht="15.75" hidden="false" customHeight="true" outlineLevel="0" collapsed="false">
      <c r="A29" s="33" t="s">
        <v>732</v>
      </c>
      <c r="B29" s="34" t="n">
        <f aca="false">IF(B14=0,"",B28/B14)</f>
        <v>441.176470588235</v>
      </c>
      <c r="C29" s="34" t="n">
        <f aca="false">IF(C14=0,"",C28/C14)</f>
        <v>535.714285714286</v>
      </c>
      <c r="D29" s="34" t="n">
        <f aca="false">IF(D14=0,"",D28/D14)</f>
        <v>731.707317073171</v>
      </c>
      <c r="E29" s="35" t="n">
        <f aca="false">IF(OR(C29="",C29=0),"",B29/C29-1)</f>
        <v>-0.176470588235294</v>
      </c>
      <c r="F29" s="35" t="n">
        <f aca="false">IF(OR(D29="",D29=0),"",B29/D29-1)</f>
        <v>-0.397058823529412</v>
      </c>
      <c r="G29" s="36"/>
      <c r="H29" s="37" t="str">
        <f aca="false">IF(G29="","",IF(G29=0,"",B29/G29))</f>
        <v/>
      </c>
      <c r="I29" s="37" t="str">
        <f aca="false">IF(B29="","",IF(G29="","No target",IF(M29="Lower",IF(B29&lt;=G29,"On Track",IF(B29&lt;=G29*1.2,"Watch","At Risk")),IF(B29&gt;=G29,"On Track",IF(B29&gt;=G29*0.8,"Watch","At Risk")))))</f>
        <v>No target</v>
      </c>
      <c r="J29" s="37" t="s">
        <v>730</v>
      </c>
      <c r="K29" s="37" t="s">
        <v>719</v>
      </c>
      <c r="L29" s="37" t="s">
        <v>90</v>
      </c>
      <c r="M29" s="37" t="s">
        <v>77</v>
      </c>
      <c r="N29" s="37" t="s">
        <v>50</v>
      </c>
      <c r="O29" s="3"/>
      <c r="P29" s="3"/>
    </row>
    <row r="30" customFormat="false" ht="15.75" hidden="false" customHeight="true" outlineLevel="0" collapsed="false">
      <c r="A30" s="33" t="s">
        <v>733</v>
      </c>
      <c r="B30" s="38" t="n">
        <f aca="false">IF(B28=0,"",(B24-B28)/B28)</f>
        <v>27.6686333333333</v>
      </c>
      <c r="C30" s="38" t="n">
        <f aca="false">IF(C28=0,"",(C24-C28)/C28)</f>
        <v>21.46495</v>
      </c>
      <c r="D30" s="38" t="n">
        <f aca="false">IF(D28=0,"",(D24-D28)/D28)</f>
        <v>17.3682833333333</v>
      </c>
      <c r="E30" s="35" t="n">
        <f aca="false">IF(OR(C30="",C30=0),"",B30/C30-1)</f>
        <v>0.289014571817467</v>
      </c>
      <c r="F30" s="35" t="n">
        <f aca="false">IF(OR(D30="",D30=0),"",B30/D30-1)</f>
        <v>0.593055157053518</v>
      </c>
      <c r="G30" s="35" t="n">
        <v>3</v>
      </c>
      <c r="H30" s="37" t="n">
        <f aca="false">IF(G30="","",IF(G30=0,"",B30/G30))</f>
        <v>9.22287777777778</v>
      </c>
      <c r="I30" s="37" t="str">
        <f aca="false">IF(B30="","",IF(G30="","No target",IF(M30="Lower",IF(B30&lt;=G30,"On Track",IF(B30&lt;=G30*1.2,"Watch","At Risk")),IF(B30&gt;=G30,"On Track",IF(B30&gt;=G30*0.8,"Watch","At Risk")))))</f>
        <v>On Track</v>
      </c>
      <c r="J30" s="37" t="s">
        <v>730</v>
      </c>
      <c r="K30" s="37" t="s">
        <v>719</v>
      </c>
      <c r="L30" s="37" t="s">
        <v>90</v>
      </c>
      <c r="M30" s="37" t="s">
        <v>49</v>
      </c>
      <c r="N30" s="37" t="s">
        <v>50</v>
      </c>
      <c r="O30" s="3"/>
      <c r="P30" s="3"/>
    </row>
    <row r="31" customFormat="false" ht="15.75" hidden="false" customHeight="true" outlineLevel="0" collapsed="false">
      <c r="A31" s="33" t="s">
        <v>734</v>
      </c>
      <c r="B31" s="34" t="n">
        <f aca="false">B17*00_Setup!$C$48</f>
        <v>315855</v>
      </c>
      <c r="C31" s="34" t="n">
        <f aca="false">C17*00_Setup!$C$48</f>
        <v>222885</v>
      </c>
      <c r="D31" s="34" t="n">
        <f aca="false">D17*00_Setup!$C$48</f>
        <v>118080</v>
      </c>
      <c r="E31" s="35" t="n">
        <f aca="false">IF(OR(C31="",C31=0),"",B31/C31-1)</f>
        <v>0.417120936805976</v>
      </c>
      <c r="F31" s="35" t="n">
        <f aca="false">IF(OR(D31="",D31=0),"",B31/D31-1)</f>
        <v>1.6749237804878</v>
      </c>
      <c r="G31" s="36"/>
      <c r="H31" s="37" t="str">
        <f aca="false">IF(G31="","",IF(G31=0,"",B31/G31))</f>
        <v/>
      </c>
      <c r="I31" s="37" t="str">
        <f aca="false">IF(B31="","",IF(G31="","No target",IF(M31="Lower",IF(B31&lt;=G31,"On Track",IF(B31&lt;=G31*1.2,"Watch","At Risk")),IF(B31&gt;=G31,"On Track",IF(B31&gt;=G31*0.8,"Watch","At Risk")))))</f>
        <v>No target</v>
      </c>
      <c r="J31" s="37" t="s">
        <v>730</v>
      </c>
      <c r="K31" s="37" t="s">
        <v>719</v>
      </c>
      <c r="L31" s="37" t="s">
        <v>95</v>
      </c>
      <c r="M31" s="37" t="s">
        <v>49</v>
      </c>
      <c r="N31" s="37" t="s">
        <v>205</v>
      </c>
      <c r="O31" s="3"/>
      <c r="P31" s="3"/>
    </row>
    <row r="32" customFormat="false" ht="15.75" hidden="false" customHeight="true" outlineLevel="0" collapsed="false">
      <c r="A32" s="33" t="s">
        <v>62</v>
      </c>
      <c r="B32" s="38" t="n">
        <f aca="false">IFERROR(INDEX(12_Data_SEO_Tools!$K:$K,MATCH(1,(12_Data_SEO_Tools!$A:$A=00_Setup!$C$15)*(12_Data_SEO_Tools!$B:$B="Domain")*(12_Data_SEO_Tools!$O:$O="No"),0)),"")</f>
        <v>0.186</v>
      </c>
      <c r="C32" s="38" t="n">
        <f aca="false">IFERROR(INDEX(12_Data_SEO_Tools!$K:$K,MATCH(1,(12_Data_SEO_Tools!$A:$A=00_Setup!$C$17)*(12_Data_SEO_Tools!$B:$B="Domain")*(12_Data_SEO_Tools!$O:$O="No"),0)),"")</f>
        <v>0.1637</v>
      </c>
      <c r="D32" s="38" t="n">
        <f aca="false">IFERROR(INDEX(12_Data_SEO_Tools!$K:$K,MATCH(1,(12_Data_SEO_Tools!$A:$A=00_Setup!$C$19)*(12_Data_SEO_Tools!$B:$B="Domain")*(12_Data_SEO_Tools!$O:$O="No"),0)),"")</f>
        <v>0.1265</v>
      </c>
      <c r="E32" s="35" t="n">
        <f aca="false">IF(OR(C32="",C32=0),"",B32/C32-1)</f>
        <v>0.136224801466097</v>
      </c>
      <c r="F32" s="35" t="n">
        <f aca="false">IF(OR(D32="",D32=0),"",B32/D32-1)</f>
        <v>0.470355731225296</v>
      </c>
      <c r="G32" s="35" t="n">
        <v>0.2</v>
      </c>
      <c r="H32" s="37" t="n">
        <f aca="false">IF(G32="","",IF(G32=0,"",B32/G32))</f>
        <v>0.93</v>
      </c>
      <c r="I32" s="37" t="str">
        <f aca="false">IF(B32="","",IF(G32="","No target",IF(M32="Lower",IF(B32&lt;=G32,"On Track",IF(B32&lt;=G32*1.2,"Watch","At Risk")),IF(B32&gt;=G32,"On Track",IF(B32&gt;=G32*0.8,"Watch","At Risk")))))</f>
        <v>Watch</v>
      </c>
      <c r="J32" s="37" t="s">
        <v>716</v>
      </c>
      <c r="K32" s="37" t="s">
        <v>735</v>
      </c>
      <c r="L32" s="37" t="s">
        <v>95</v>
      </c>
      <c r="M32" s="37" t="s">
        <v>49</v>
      </c>
      <c r="N32" s="37" t="s">
        <v>50</v>
      </c>
      <c r="O32" s="3"/>
      <c r="P32" s="3"/>
    </row>
    <row r="33" customFormat="false" ht="15.75" hidden="false" customHeight="true" outlineLevel="0" collapsed="false">
      <c r="A33" s="33" t="s">
        <v>736</v>
      </c>
      <c r="B33" s="34" t="n">
        <f aca="false">SUMIFS(12_Data_SEO_Tools!$M:$M,12_Data_SEO_Tools!$A:$A,00_Setup!$C$15,12_Data_SEO_Tools!$B:$B,"Domain",12_Data_SEO_Tools!$O:$O,"No")-SUMIFS(12_Data_SEO_Tools!$N:$N,12_Data_SEO_Tools!$A:$A,00_Setup!$C$15,12_Data_SEO_Tools!$B:$B,"Domain",12_Data_SEO_Tools!$O:$O,"No")</f>
        <v>31</v>
      </c>
      <c r="C33" s="34" t="n">
        <f aca="false">SUMIFS(12_Data_SEO_Tools!$M:$M,12_Data_SEO_Tools!$A:$A,00_Setup!$C$17,12_Data_SEO_Tools!$B:$B,"Domain",12_Data_SEO_Tools!$O:$O,"No")-SUMIFS(12_Data_SEO_Tools!$N:$N,12_Data_SEO_Tools!$A:$A,00_Setup!$C$17,12_Data_SEO_Tools!$B:$B,"Domain",12_Data_SEO_Tools!$O:$O,"No")</f>
        <v>27</v>
      </c>
      <c r="D33" s="34" t="n">
        <f aca="false">SUMIFS(12_Data_SEO_Tools!$M:$M,12_Data_SEO_Tools!$A:$A,00_Setup!$C$19,12_Data_SEO_Tools!$B:$B,"Domain",12_Data_SEO_Tools!$O:$O,"No")-SUMIFS(12_Data_SEO_Tools!$N:$N,12_Data_SEO_Tools!$A:$A,00_Setup!$C$19,12_Data_SEO_Tools!$B:$B,"Domain",12_Data_SEO_Tools!$O:$O,"No")</f>
        <v>21</v>
      </c>
      <c r="E33" s="35" t="n">
        <f aca="false">IF(OR(C33="",C33=0),"",B33/C33-1)</f>
        <v>0.148148148148148</v>
      </c>
      <c r="F33" s="35" t="n">
        <f aca="false">IF(OR(D33="",D33=0),"",B33/D33-1)</f>
        <v>0.476190476190476</v>
      </c>
      <c r="G33" s="36" t="n">
        <v>20</v>
      </c>
      <c r="H33" s="37" t="n">
        <f aca="false">IF(G33="","",IF(G33=0,"",B33/G33))</f>
        <v>1.55</v>
      </c>
      <c r="I33" s="37" t="str">
        <f aca="false">IF(B33="","",IF(G33="","No target",IF(M33="Lower",IF(B33&lt;=G33,"On Track",IF(B33&lt;=G33*1.2,"Watch","At Risk")),IF(B33&gt;=G33,"On Track",IF(B33&gt;=G33*0.8,"Watch","At Risk")))))</f>
        <v>On Track</v>
      </c>
      <c r="J33" s="37" t="s">
        <v>737</v>
      </c>
      <c r="K33" s="37" t="s">
        <v>735</v>
      </c>
      <c r="L33" s="37" t="s">
        <v>95</v>
      </c>
      <c r="M33" s="37" t="s">
        <v>49</v>
      </c>
      <c r="N33" s="37" t="s">
        <v>205</v>
      </c>
      <c r="O33" s="3"/>
      <c r="P33" s="3"/>
    </row>
    <row r="34" customFormat="false" ht="15.75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customFormat="false" ht="15.7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customFormat="false" ht="15.7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customFormat="false" ht="15.7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customFormat="false" ht="15.7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customFormat="false" ht="15.7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customFormat="false" ht="15.7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customFormat="false" ht="15.7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customFormat="false" ht="15.7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customFormat="false" ht="15.7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customFormat="false" ht="15.7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customFormat="false" ht="15.7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customFormat="false" ht="15.7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customFormat="false" ht="15.7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customFormat="false" ht="15.7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customFormat="false" ht="15.7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 customFormat="false" ht="15.7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customFormat="false" ht="15.7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customFormat="false" ht="15.7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customFormat="false" ht="15.7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customFormat="false" ht="15.7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customFormat="false" ht="15.7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customFormat="false" ht="15.7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customFormat="false" ht="15.7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customFormat="false" ht="15.7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customFormat="false" ht="15.7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customFormat="false" ht="15.7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 customFormat="false" ht="15.7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customFormat="false" ht="15.7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 customFormat="false" ht="15.7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 customFormat="false" ht="15.7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</row>
    <row r="65" customFormat="false" ht="15.7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customFormat="false" ht="15.7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 customFormat="false" ht="15.7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customFormat="false" ht="15.7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</row>
    <row r="69" customFormat="false" ht="15.7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customFormat="false" ht="15.7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customFormat="false" ht="15.7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customFormat="false" ht="15.7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customFormat="false" ht="15.7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</row>
    <row r="74" customFormat="false" ht="15.7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 customFormat="false" ht="15.7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</row>
    <row r="76" customFormat="false" ht="15.7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</row>
    <row r="77" customFormat="false" ht="15.7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</row>
    <row r="78" customFormat="false" ht="15.7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customFormat="false" ht="15.7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</row>
    <row r="80" customFormat="false" ht="15.7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</row>
    <row r="81" customFormat="false" ht="15.7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customFormat="false" ht="15.7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customFormat="false" ht="15.7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</row>
    <row r="84" customFormat="false" ht="15.7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</row>
    <row r="85" customFormat="false" ht="15.7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customFormat="false" ht="15.7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</row>
    <row r="87" customFormat="false" ht="15.7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</row>
    <row r="88" customFormat="false" ht="15.7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</row>
    <row r="89" customFormat="false" ht="15.7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</row>
    <row r="90" customFormat="false" ht="15.7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customFormat="false" ht="15.7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</row>
    <row r="92" customFormat="false" ht="15.7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customFormat="false" ht="15.7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</row>
    <row r="94" customFormat="false" ht="15.7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</row>
    <row r="95" customFormat="false" ht="15.7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customFormat="false" ht="60" hidden="false" customHeight="true" outlineLevel="0" collapsed="false">
      <c r="A96" s="39" t="s">
        <v>738</v>
      </c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"/>
      <c r="P96" s="3"/>
    </row>
    <row r="97" customFormat="false" ht="15.7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</row>
    <row r="98" customFormat="false" ht="60" hidden="false" customHeight="true" outlineLevel="0" collapsed="false">
      <c r="A98" s="40" t="s">
        <v>739</v>
      </c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3"/>
      <c r="P98" s="3"/>
    </row>
    <row r="99" customFormat="false" ht="15.7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</row>
    <row r="100" customFormat="false" ht="15.7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</row>
    <row r="101" customFormat="false" ht="15.7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</row>
    <row r="102" customFormat="false" ht="15.7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</row>
    <row r="103" customFormat="false" ht="15.7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</row>
    <row r="104" customFormat="false" ht="15.7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customFormat="false" ht="15.7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</row>
    <row r="106" customFormat="false" ht="15.7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</row>
    <row r="107" customFormat="false" ht="15.7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</row>
    <row r="108" customFormat="false" ht="15.7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</row>
    <row r="109" customFormat="false" ht="15.7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</row>
    <row r="110" customFormat="false" ht="15.7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</row>
    <row r="111" customFormat="false" ht="15.7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</row>
    <row r="112" customFormat="false" ht="15.7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</row>
    <row r="113" customFormat="false" ht="15.7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</row>
    <row r="114" customFormat="false" ht="15.7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</row>
    <row r="115" customFormat="false" ht="15.7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</row>
    <row r="116" customFormat="false" ht="15.7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</row>
    <row r="117" customFormat="false" ht="15.7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</row>
    <row r="118" customFormat="false" ht="15.7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</row>
    <row r="119" customFormat="false" ht="15.7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</row>
    <row r="120" customFormat="false" ht="15.7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</row>
    <row r="121" customFormat="false" ht="15.7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</row>
    <row r="122" customFormat="false" ht="15.7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</row>
    <row r="123" customFormat="false" ht="15.7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</row>
    <row r="124" customFormat="false" ht="15.7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</row>
    <row r="125" customFormat="false" ht="15.7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</row>
    <row r="126" customFormat="false" ht="15.7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</row>
    <row r="127" customFormat="false" ht="15.7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</row>
    <row r="128" customFormat="false" ht="15.7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</row>
    <row r="129" customFormat="false" ht="15.7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</row>
    <row r="130" customFormat="false" ht="15.7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</row>
    <row r="131" customFormat="false" ht="15.7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</row>
    <row r="132" customFormat="false" ht="15.7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</row>
    <row r="133" customFormat="false" ht="15.7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</row>
    <row r="134" customFormat="false" ht="15.7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</row>
    <row r="135" customFormat="false" ht="15.7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</row>
    <row r="136" customFormat="false" ht="15.7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</row>
    <row r="137" customFormat="false" ht="15.7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</row>
    <row r="138" customFormat="false" ht="15.7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</row>
    <row r="139" customFormat="false" ht="15.7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</row>
    <row r="140" customFormat="false" ht="15.7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</row>
    <row r="141" customFormat="false" ht="15.7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</row>
    <row r="142" customFormat="false" ht="15.7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</row>
    <row r="143" customFormat="false" ht="15.7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</row>
    <row r="144" customFormat="false" ht="15.7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</row>
    <row r="145" customFormat="false" ht="15.7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</row>
    <row r="146" customFormat="false" ht="15.7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</row>
    <row r="147" customFormat="false" ht="15.7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</row>
    <row r="148" customFormat="false" ht="15.7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</row>
    <row r="149" customFormat="false" ht="15.7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</row>
    <row r="150" customFormat="false" ht="15.7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</row>
    <row r="151" customFormat="false" ht="15.7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</row>
    <row r="152" customFormat="false" ht="15.7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</row>
    <row r="153" customFormat="false" ht="15.7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</row>
    <row r="154" customFormat="false" ht="15.7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</row>
    <row r="155" customFormat="false" ht="15.7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</row>
    <row r="156" customFormat="false" ht="15.7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</row>
    <row r="157" customFormat="false" ht="15.7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</row>
    <row r="158" customFormat="false" ht="15.7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</row>
    <row r="159" customFormat="false" ht="15.7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</row>
    <row r="160" customFormat="false" ht="15.7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</row>
    <row r="161" customFormat="false" ht="15.7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</row>
    <row r="162" customFormat="false" ht="15.7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</row>
    <row r="163" customFormat="false" ht="15.7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</row>
    <row r="164" customFormat="false" ht="15.7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</row>
    <row r="165" customFormat="false" ht="15.7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</row>
    <row r="166" customFormat="false" ht="15.7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</row>
    <row r="167" customFormat="false" ht="15.7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</row>
    <row r="168" customFormat="false" ht="15.7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</row>
    <row r="169" customFormat="false" ht="15.7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</row>
    <row r="170" customFormat="false" ht="15.7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</row>
    <row r="171" customFormat="false" ht="15.7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</row>
    <row r="172" customFormat="false" ht="15.7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</row>
    <row r="173" customFormat="false" ht="15.7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</row>
    <row r="174" customFormat="false" ht="15.7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</row>
    <row r="175" customFormat="false" ht="15.7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</row>
    <row r="176" customFormat="false" ht="15.7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</row>
    <row r="177" customFormat="false" ht="15.7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</row>
    <row r="178" customFormat="false" ht="15.7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</row>
    <row r="179" customFormat="false" ht="15.7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</row>
    <row r="180" customFormat="false" ht="15.7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</row>
    <row r="181" customFormat="false" ht="15.7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</row>
    <row r="182" customFormat="false" ht="15.7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</row>
    <row r="183" customFormat="false" ht="15.7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</row>
    <row r="184" customFormat="false" ht="15.7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</row>
    <row r="185" customFormat="false" ht="15.7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</row>
    <row r="186" customFormat="false" ht="15.7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</row>
    <row r="187" customFormat="false" ht="15.7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</row>
    <row r="188" customFormat="false" ht="15.7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</row>
    <row r="189" customFormat="false" ht="15.7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</row>
    <row r="190" customFormat="false" ht="15.7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</row>
    <row r="191" customFormat="false" ht="15.7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</row>
    <row r="192" customFormat="false" ht="15.7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</row>
    <row r="193" customFormat="false" ht="15.7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</row>
    <row r="194" customFormat="false" ht="15.7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</row>
    <row r="195" customFormat="false" ht="15.7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</row>
    <row r="196" customFormat="false" ht="15.7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</row>
    <row r="197" customFormat="false" ht="15.7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</row>
    <row r="198" customFormat="false" ht="15.7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</row>
    <row r="199" customFormat="false" ht="15.7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</row>
    <row r="200" customFormat="false" ht="15.7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</row>
    <row r="201" customFormat="false" ht="15.7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</row>
    <row r="202" customFormat="false" ht="15.7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</row>
    <row r="203" customFormat="false" ht="15.7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</row>
    <row r="204" customFormat="false" ht="15.7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</row>
    <row r="205" customFormat="false" ht="15.7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</row>
    <row r="206" customFormat="false" ht="15.7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</row>
    <row r="207" customFormat="false" ht="15.7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</row>
    <row r="208" customFormat="false" ht="15.7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</row>
    <row r="209" customFormat="false" ht="15.7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</row>
    <row r="210" customFormat="false" ht="15.7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</row>
    <row r="211" customFormat="false" ht="15.7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</row>
    <row r="212" customFormat="false" ht="15.7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</row>
    <row r="213" customFormat="false" ht="15.7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</row>
    <row r="214" customFormat="false" ht="15.7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</row>
    <row r="215" customFormat="false" ht="15.7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</row>
    <row r="216" customFormat="false" ht="15.7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</row>
    <row r="217" customFormat="false" ht="15.7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</row>
    <row r="218" customFormat="false" ht="15.7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</row>
    <row r="219" customFormat="false" ht="15.7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</row>
    <row r="220" customFormat="false" ht="15.7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</row>
    <row r="221" customFormat="false" ht="15.7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</row>
    <row r="222" customFormat="false" ht="15.7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</row>
    <row r="223" customFormat="false" ht="15.7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</row>
    <row r="224" customFormat="false" ht="15.7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</row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6">
    <mergeCell ref="A1:N2"/>
    <mergeCell ref="A3:N3"/>
    <mergeCell ref="A5:H5"/>
    <mergeCell ref="A12:N12"/>
    <mergeCell ref="A96:N96"/>
    <mergeCell ref="A98:N9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2" min="1" style="1" width="14"/>
    <col collapsed="false" customWidth="true" hidden="false" outlineLevel="0" max="26" min="13" style="1" width="8.63"/>
  </cols>
  <sheetData>
    <row r="1" customFormat="false" ht="15" hidden="false" customHeight="true" outlineLevel="0" collapsed="false">
      <c r="A1" s="2" t="s">
        <v>740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3"/>
      <c r="P1" s="3"/>
    </row>
    <row r="2" customFormat="false" ht="1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3"/>
      <c r="O2" s="3"/>
      <c r="P2" s="3"/>
    </row>
    <row r="3" customFormat="false" ht="15" hidden="false" customHeight="true" outlineLevel="0" collapsed="false">
      <c r="A3" s="4" t="s">
        <v>741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3"/>
      <c r="N3" s="3"/>
      <c r="O3" s="3"/>
      <c r="P3" s="3"/>
    </row>
    <row r="4" customFormat="false" ht="15" hidden="false" customHeight="tru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customFormat="false" ht="15" hidden="false" customHeight="true" outlineLevel="0" collapsed="false">
      <c r="A5" s="41" t="s">
        <v>48</v>
      </c>
      <c r="B5" s="41"/>
      <c r="C5" s="41"/>
      <c r="D5" s="41" t="s">
        <v>742</v>
      </c>
      <c r="E5" s="41"/>
      <c r="F5" s="41"/>
      <c r="G5" s="41" t="s">
        <v>54</v>
      </c>
      <c r="H5" s="41"/>
      <c r="I5" s="41"/>
      <c r="J5" s="41" t="s">
        <v>724</v>
      </c>
      <c r="K5" s="41"/>
      <c r="L5" s="41"/>
      <c r="M5" s="3"/>
      <c r="N5" s="3"/>
      <c r="O5" s="3"/>
      <c r="P5" s="3"/>
    </row>
    <row r="6" customFormat="false" ht="19.5" hidden="false" customHeight="true" outlineLevel="0" collapsed="false">
      <c r="A6" s="42" t="n">
        <f aca="false">08_AI_Input!B14</f>
        <v>136</v>
      </c>
      <c r="B6" s="42"/>
      <c r="C6" s="42"/>
      <c r="D6" s="42" t="n">
        <f aca="false">08_AI_Input!B15</f>
        <v>100</v>
      </c>
      <c r="E6" s="42"/>
      <c r="F6" s="42"/>
      <c r="G6" s="43" t="n">
        <f aca="false">08_AI_Input!B18</f>
        <v>0.015546410608139</v>
      </c>
      <c r="H6" s="43"/>
      <c r="I6" s="43"/>
      <c r="J6" s="44" t="n">
        <f aca="false">08_AI_Input!B24</f>
        <v>1720118</v>
      </c>
      <c r="K6" s="44"/>
      <c r="L6" s="44"/>
      <c r="M6" s="3"/>
      <c r="N6" s="3"/>
      <c r="O6" s="3"/>
      <c r="P6" s="3"/>
    </row>
    <row r="7" customFormat="false" ht="15" hidden="false" customHeight="true" outlineLevel="0" collapsed="false">
      <c r="A7" s="45" t="str">
        <f aca="false">TEXT(08_AI_Input!E14,"+0.0%;-0.0%")&amp;" MoM"</f>
        <v>+21.4% MoM</v>
      </c>
      <c r="B7" s="45"/>
      <c r="C7" s="45"/>
      <c r="D7" s="45" t="str">
        <f aca="false">TEXT(08_AI_Input!E15,"+0.0%;-0.0%")&amp;" MoM"</f>
        <v>+23.5% MoM</v>
      </c>
      <c r="E7" s="45"/>
      <c r="F7" s="45"/>
      <c r="G7" s="45" t="str">
        <f aca="false">TEXT(08_AI_Input!E18,"+0.0%;-0.0%")&amp;" MoM"</f>
        <v>+12.5% MoM</v>
      </c>
      <c r="H7" s="45"/>
      <c r="I7" s="45"/>
      <c r="J7" s="45" t="str">
        <f aca="false">TEXT(08_AI_Input!E24,"+0.0%;-0.0%")&amp;" MoM"</f>
        <v>+27.6% MoM</v>
      </c>
      <c r="K7" s="45"/>
      <c r="L7" s="45"/>
      <c r="M7" s="3"/>
      <c r="N7" s="3"/>
      <c r="O7" s="3"/>
      <c r="P7" s="3"/>
    </row>
    <row r="8" customFormat="false" ht="15" hidden="false" customHeight="tru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customFormat="false" ht="15" hidden="false" customHeight="true" outlineLevel="0" collapsed="false">
      <c r="A9" s="41" t="s">
        <v>53</v>
      </c>
      <c r="B9" s="41"/>
      <c r="C9" s="41"/>
      <c r="D9" s="41" t="s">
        <v>52</v>
      </c>
      <c r="E9" s="41"/>
      <c r="F9" s="41"/>
      <c r="G9" s="41" t="s">
        <v>58</v>
      </c>
      <c r="H9" s="41"/>
      <c r="I9" s="41"/>
      <c r="J9" s="41" t="s">
        <v>743</v>
      </c>
      <c r="K9" s="41"/>
      <c r="L9" s="41"/>
      <c r="M9" s="3"/>
      <c r="N9" s="3"/>
      <c r="O9" s="3"/>
      <c r="P9" s="3"/>
    </row>
    <row r="10" customFormat="false" ht="19.5" hidden="false" customHeight="true" outlineLevel="0" collapsed="false">
      <c r="A10" s="46" t="n">
        <f aca="false">08_AI_Input!B17</f>
        <v>7019</v>
      </c>
      <c r="B10" s="46"/>
      <c r="C10" s="46"/>
      <c r="D10" s="46" t="n">
        <f aca="false">08_AI_Input!B16</f>
        <v>8748</v>
      </c>
      <c r="E10" s="46"/>
      <c r="F10" s="46"/>
      <c r="G10" s="43" t="n">
        <f aca="false">08_AI_Input!B20</f>
        <v>0.277247471149736</v>
      </c>
      <c r="H10" s="43"/>
      <c r="I10" s="43"/>
      <c r="J10" s="42" t="str">
        <f aca="false">08_AI_Input!I23</f>
        <v>Watch</v>
      </c>
      <c r="K10" s="42"/>
      <c r="L10" s="42"/>
      <c r="M10" s="3"/>
      <c r="N10" s="3"/>
      <c r="O10" s="3"/>
      <c r="P10" s="3"/>
    </row>
    <row r="11" customFormat="false" ht="15" hidden="false" customHeight="true" outlineLevel="0" collapsed="false">
      <c r="A11" s="45" t="str">
        <f aca="false">TEXT(08_AI_Input!E17,"+0.0%;-0.0%")&amp;" MoM"</f>
        <v>+41.7% MoM</v>
      </c>
      <c r="B11" s="45"/>
      <c r="C11" s="45"/>
      <c r="D11" s="45" t="str">
        <f aca="false">TEXT(08_AI_Input!E16,"+0.0%;-0.0%")&amp;" MoM"</f>
        <v>+8.0% MoM</v>
      </c>
      <c r="E11" s="45"/>
      <c r="F11" s="45"/>
      <c r="G11" s="45" t="str">
        <f aca="false">TEXT(08_AI_Input!E20,"+0.0%;-0.0%")&amp;" MoM"</f>
        <v>-24.8% MoM</v>
      </c>
      <c r="H11" s="45"/>
      <c r="I11" s="45"/>
      <c r="J11" s="45" t="str">
        <f aca="false">"Critical issue rate: "&amp;TEXT(08_AI_Input!B23,"0.0%")</f>
        <v>Critical issue rate: 1.2%</v>
      </c>
      <c r="K11" s="45"/>
      <c r="L11" s="45"/>
      <c r="M11" s="3"/>
      <c r="N11" s="3"/>
      <c r="O11" s="3"/>
      <c r="P11" s="3"/>
    </row>
    <row r="12" customFormat="false" ht="1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customFormat="false" ht="15" hidden="false" customHeight="true" outlineLevel="0" collapsed="false">
      <c r="A13" s="5" t="s">
        <v>744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3"/>
      <c r="N13" s="3"/>
      <c r="O13" s="3"/>
      <c r="P13" s="3"/>
    </row>
    <row r="14" customFormat="false" ht="34.5" hidden="false" customHeight="true" outlineLevel="0" collapsed="false">
      <c r="A14" s="21" t="s">
        <v>42</v>
      </c>
      <c r="B14" s="21" t="s">
        <v>704</v>
      </c>
      <c r="C14" s="21" t="s">
        <v>705</v>
      </c>
      <c r="D14" s="21" t="s">
        <v>745</v>
      </c>
      <c r="E14" s="21" t="s">
        <v>709</v>
      </c>
      <c r="F14" s="21" t="s">
        <v>746</v>
      </c>
      <c r="G14" s="21" t="s">
        <v>79</v>
      </c>
      <c r="H14" s="21" t="s">
        <v>747</v>
      </c>
      <c r="I14" s="3"/>
      <c r="J14" s="3"/>
      <c r="K14" s="3"/>
      <c r="L14" s="3"/>
      <c r="M14" s="3"/>
      <c r="N14" s="3"/>
      <c r="O14" s="3"/>
      <c r="P14" s="3"/>
    </row>
    <row r="15" customFormat="false" ht="45.75" hidden="false" customHeight="true" outlineLevel="0" collapsed="false">
      <c r="A15" s="7" t="str">
        <f aca="false">08_AI_Input!A14</f>
        <v>Organic Conversions</v>
      </c>
      <c r="B15" s="7" t="n">
        <f aca="false">08_AI_Input!B14</f>
        <v>136</v>
      </c>
      <c r="C15" s="7" t="n">
        <f aca="false">08_AI_Input!C14</f>
        <v>112</v>
      </c>
      <c r="D15" s="27" t="n">
        <f aca="false">08_AI_Input!E14</f>
        <v>0.214285714285714</v>
      </c>
      <c r="E15" s="27" t="n">
        <f aca="false">08_AI_Input!G14</f>
        <v>150</v>
      </c>
      <c r="F15" s="27" t="n">
        <f aca="false">08_AI_Input!H14</f>
        <v>0.906666666666667</v>
      </c>
      <c r="G15" s="7" t="str">
        <f aca="false">08_AI_Input!I14</f>
        <v>Watch</v>
      </c>
      <c r="H15" s="7" t="str">
        <f aca="false">IF(G15="On Track","Healthy performance against target",IF(G15="Watch","Improving or near target; monitor closely","Immediate corrective action required"))</f>
        <v>Improving or near target; monitor closely</v>
      </c>
      <c r="I15" s="3"/>
      <c r="J15" s="3"/>
      <c r="K15" s="3"/>
      <c r="L15" s="3"/>
      <c r="M15" s="3"/>
      <c r="N15" s="3"/>
      <c r="O15" s="3"/>
      <c r="P15" s="3"/>
    </row>
    <row r="16" customFormat="false" ht="45.75" hidden="false" customHeight="true" outlineLevel="0" collapsed="false">
      <c r="A16" s="7" t="str">
        <f aca="false">08_AI_Input!A15</f>
        <v>Qualified Organic Conversions</v>
      </c>
      <c r="B16" s="7" t="n">
        <f aca="false">08_AI_Input!B15</f>
        <v>100</v>
      </c>
      <c r="C16" s="7" t="n">
        <f aca="false">08_AI_Input!C15</f>
        <v>81</v>
      </c>
      <c r="D16" s="27" t="n">
        <f aca="false">08_AI_Input!E15</f>
        <v>0.234567901234568</v>
      </c>
      <c r="E16" s="27" t="n">
        <f aca="false">08_AI_Input!G15</f>
        <v>105</v>
      </c>
      <c r="F16" s="27" t="n">
        <f aca="false">08_AI_Input!H15</f>
        <v>0.952380952380952</v>
      </c>
      <c r="G16" s="7" t="str">
        <f aca="false">08_AI_Input!I15</f>
        <v>Watch</v>
      </c>
      <c r="H16" s="7" t="str">
        <f aca="false">IF(G16="On Track","Healthy performance against target",IF(G16="Watch","Improving or near target; monitor closely","Immediate corrective action required"))</f>
        <v>Improving or near target; monitor closely</v>
      </c>
      <c r="I16" s="3"/>
      <c r="J16" s="3"/>
      <c r="K16" s="3"/>
      <c r="L16" s="3"/>
      <c r="M16" s="3"/>
      <c r="N16" s="3"/>
      <c r="O16" s="3"/>
      <c r="P16" s="3"/>
    </row>
    <row r="17" customFormat="false" ht="45.75" hidden="false" customHeight="true" outlineLevel="0" collapsed="false">
      <c r="A17" s="7" t="str">
        <f aca="false">08_AI_Input!A16</f>
        <v>Organic Sessions</v>
      </c>
      <c r="B17" s="7" t="n">
        <f aca="false">08_AI_Input!B16</f>
        <v>8748</v>
      </c>
      <c r="C17" s="7" t="n">
        <f aca="false">08_AI_Input!C16</f>
        <v>8103</v>
      </c>
      <c r="D17" s="27" t="n">
        <f aca="false">08_AI_Input!E16</f>
        <v>0.0796001480932989</v>
      </c>
      <c r="E17" s="27" t="n">
        <f aca="false">08_AI_Input!G16</f>
        <v>18000</v>
      </c>
      <c r="F17" s="27" t="n">
        <f aca="false">08_AI_Input!H16</f>
        <v>0.486</v>
      </c>
      <c r="G17" s="7" t="str">
        <f aca="false">08_AI_Input!I16</f>
        <v>At Risk</v>
      </c>
      <c r="H17" s="7" t="str">
        <f aca="false">IF(G17="On Track","Healthy performance against target",IF(G17="Watch","Improving or near target; monitor closely","Immediate corrective action required"))</f>
        <v>Immediate corrective action required</v>
      </c>
      <c r="I17" s="3"/>
      <c r="J17" s="3"/>
      <c r="K17" s="3"/>
      <c r="L17" s="3"/>
      <c r="M17" s="3"/>
      <c r="N17" s="3"/>
      <c r="O17" s="3"/>
      <c r="P17" s="3"/>
    </row>
    <row r="18" customFormat="false" ht="45.75" hidden="false" customHeight="true" outlineLevel="0" collapsed="false">
      <c r="A18" s="7" t="str">
        <f aca="false">08_AI_Input!A17</f>
        <v>Organic Clicks</v>
      </c>
      <c r="B18" s="7" t="n">
        <f aca="false">08_AI_Input!B17</f>
        <v>7019</v>
      </c>
      <c r="C18" s="7" t="n">
        <f aca="false">08_AI_Input!C17</f>
        <v>4953</v>
      </c>
      <c r="D18" s="27" t="n">
        <f aca="false">08_AI_Input!E17</f>
        <v>0.417120936805976</v>
      </c>
      <c r="E18" s="27" t="n">
        <f aca="false">08_AI_Input!G17</f>
        <v>9500</v>
      </c>
      <c r="F18" s="27" t="n">
        <f aca="false">08_AI_Input!H17</f>
        <v>0.738842105263158</v>
      </c>
      <c r="G18" s="7" t="str">
        <f aca="false">08_AI_Input!I17</f>
        <v>At Risk</v>
      </c>
      <c r="H18" s="7" t="str">
        <f aca="false">IF(G18="On Track","Healthy performance against target",IF(G18="Watch","Improving or near target; monitor closely","Immediate corrective action required"))</f>
        <v>Immediate corrective action required</v>
      </c>
      <c r="I18" s="3"/>
      <c r="J18" s="3"/>
      <c r="K18" s="3"/>
      <c r="L18" s="3"/>
      <c r="M18" s="3"/>
      <c r="N18" s="3"/>
      <c r="O18" s="3"/>
      <c r="P18" s="3"/>
    </row>
    <row r="19" customFormat="false" ht="34.5" hidden="false" customHeight="true" outlineLevel="0" collapsed="false">
      <c r="A19" s="7" t="str">
        <f aca="false">08_AI_Input!A18</f>
        <v>Organic Conversion Rate</v>
      </c>
      <c r="B19" s="27" t="n">
        <f aca="false">08_AI_Input!B18</f>
        <v>0.015546410608139</v>
      </c>
      <c r="C19" s="27" t="n">
        <f aca="false">08_AI_Input!C18</f>
        <v>0.0138220412193015</v>
      </c>
      <c r="D19" s="27" t="n">
        <f aca="false">08_AI_Input!E18</f>
        <v>0.124755046051342</v>
      </c>
      <c r="E19" s="27" t="n">
        <f aca="false">08_AI_Input!G18</f>
        <v>0.009</v>
      </c>
      <c r="F19" s="27" t="n">
        <f aca="false">08_AI_Input!H18</f>
        <v>1.72737895645989</v>
      </c>
      <c r="G19" s="7" t="str">
        <f aca="false">08_AI_Input!I18</f>
        <v>On Track</v>
      </c>
      <c r="H19" s="7" t="str">
        <f aca="false">IF(G19="On Track","Healthy performance against target",IF(G19="Watch","Improving or near target; monitor closely","Immediate corrective action required"))</f>
        <v>Healthy performance against target</v>
      </c>
      <c r="I19" s="3"/>
      <c r="J19" s="3"/>
      <c r="K19" s="3"/>
      <c r="L19" s="3"/>
      <c r="M19" s="3"/>
      <c r="N19" s="3"/>
      <c r="O19" s="3"/>
      <c r="P19" s="3"/>
    </row>
    <row r="20" customFormat="false" ht="34.5" hidden="false" customHeight="true" outlineLevel="0" collapsed="false">
      <c r="A20" s="7" t="str">
        <f aca="false">08_AI_Input!A19</f>
        <v>Qualified Conversion Rate</v>
      </c>
      <c r="B20" s="27" t="n">
        <f aca="false">08_AI_Input!B19</f>
        <v>0.735294117647059</v>
      </c>
      <c r="C20" s="27" t="n">
        <f aca="false">08_AI_Input!C19</f>
        <v>0.723214285714286</v>
      </c>
      <c r="D20" s="27" t="n">
        <f aca="false">08_AI_Input!E19</f>
        <v>0.0167029774872913</v>
      </c>
      <c r="E20" s="27" t="n">
        <f aca="false">08_AI_Input!G19</f>
        <v>0.7</v>
      </c>
      <c r="F20" s="27" t="n">
        <f aca="false">08_AI_Input!H19</f>
        <v>1.05042016806723</v>
      </c>
      <c r="G20" s="7" t="str">
        <f aca="false">08_AI_Input!I19</f>
        <v>On Track</v>
      </c>
      <c r="H20" s="7" t="str">
        <f aca="false">IF(G20="On Track","Healthy performance against target",IF(G20="Watch","Improving or near target; monitor closely","Immediate corrective action required"))</f>
        <v>Healthy performance against target</v>
      </c>
      <c r="I20" s="3"/>
      <c r="J20" s="3"/>
      <c r="K20" s="3"/>
      <c r="L20" s="3"/>
      <c r="M20" s="3"/>
      <c r="N20" s="3"/>
      <c r="O20" s="3"/>
      <c r="P20" s="3"/>
    </row>
    <row r="21" customFormat="false" ht="15.75" hidden="false" customHeight="true" outlineLevel="0" collapsed="false">
      <c r="A21" s="7" t="str">
        <f aca="false">08_AI_Input!A20</f>
        <v>Non-brand Click Share</v>
      </c>
      <c r="B21" s="27" t="n">
        <f aca="false">08_AI_Input!B20</f>
        <v>0.277247471149736</v>
      </c>
      <c r="C21" s="27" t="n">
        <f aca="false">08_AI_Input!C20</f>
        <v>0.368463557439935</v>
      </c>
      <c r="D21" s="27" t="n">
        <f aca="false">08_AI_Input!E20</f>
        <v>-0.247557959120743</v>
      </c>
      <c r="E21" s="27" t="n">
        <f aca="false">08_AI_Input!G20</f>
        <v>0.7</v>
      </c>
      <c r="F21" s="27" t="n">
        <f aca="false">08_AI_Input!H20</f>
        <v>0.396067815928195</v>
      </c>
      <c r="G21" s="7" t="str">
        <f aca="false">08_AI_Input!I20</f>
        <v>At Risk</v>
      </c>
      <c r="H21" s="7" t="str">
        <f aca="false">IF(G21="On Track","Healthy performance against target",IF(G21="Watch","Improving or near target; monitor closely","Immediate corrective action required"))</f>
        <v>Immediate corrective action required</v>
      </c>
      <c r="I21" s="3"/>
      <c r="J21" s="3"/>
      <c r="K21" s="3"/>
      <c r="L21" s="3"/>
      <c r="M21" s="3"/>
      <c r="N21" s="3"/>
      <c r="O21" s="3"/>
      <c r="P21" s="3"/>
    </row>
    <row r="22" customFormat="false" ht="15.75" hidden="false" customHeight="true" outlineLevel="0" collapsed="false">
      <c r="A22" s="7" t="str">
        <f aca="false">08_AI_Input!A21</f>
        <v>Indexation Ratio</v>
      </c>
      <c r="B22" s="27" t="n">
        <f aca="false">08_AI_Input!B21</f>
        <v>0.975</v>
      </c>
      <c r="C22" s="27" t="str">
        <f aca="false">08_AI_Input!C21</f>
        <v/>
      </c>
      <c r="D22" s="27" t="str">
        <f aca="false">08_AI_Input!E21</f>
        <v/>
      </c>
      <c r="E22" s="27" t="n">
        <f aca="false">08_AI_Input!G21</f>
        <v>0.97</v>
      </c>
      <c r="F22" s="27" t="n">
        <f aca="false">08_AI_Input!H21</f>
        <v>1.00515463917526</v>
      </c>
      <c r="G22" s="7" t="str">
        <f aca="false">08_AI_Input!I21</f>
        <v>On Track</v>
      </c>
      <c r="H22" s="7" t="str">
        <f aca="false">IF(G22="On Track","Healthy performance against target",IF(G22="Watch","Improving or near target; monitor closely","Immediate corrective action required"))</f>
        <v>Healthy performance against target</v>
      </c>
      <c r="I22" s="3"/>
      <c r="J22" s="3"/>
      <c r="K22" s="3"/>
      <c r="L22" s="3"/>
      <c r="M22" s="3"/>
      <c r="N22" s="3"/>
      <c r="O22" s="3"/>
      <c r="P22" s="3"/>
    </row>
    <row r="23" customFormat="false" ht="15.75" hidden="false" customHeight="true" outlineLevel="0" collapsed="false">
      <c r="A23" s="7" t="str">
        <f aca="false">08_AI_Input!A22</f>
        <v>CWV Pass Rate</v>
      </c>
      <c r="B23" s="27" t="n">
        <f aca="false">08_AI_Input!B22</f>
        <v>0.888888888888889</v>
      </c>
      <c r="C23" s="27" t="str">
        <f aca="false">08_AI_Input!C22</f>
        <v/>
      </c>
      <c r="D23" s="27" t="str">
        <f aca="false">08_AI_Input!E22</f>
        <v/>
      </c>
      <c r="E23" s="27" t="n">
        <f aca="false">08_AI_Input!G22</f>
        <v>0.9</v>
      </c>
      <c r="F23" s="27" t="n">
        <f aca="false">08_AI_Input!H22</f>
        <v>0.987654320987654</v>
      </c>
      <c r="G23" s="7" t="str">
        <f aca="false">08_AI_Input!I22</f>
        <v>Watch</v>
      </c>
      <c r="H23" s="7" t="str">
        <f aca="false">IF(G23="On Track","Healthy performance against target",IF(G23="Watch","Improving or near target; monitor closely","Immediate corrective action required"))</f>
        <v>Improving or near target; monitor closely</v>
      </c>
      <c r="I23" s="3"/>
      <c r="J23" s="3"/>
      <c r="K23" s="3"/>
      <c r="L23" s="3"/>
      <c r="M23" s="3"/>
      <c r="N23" s="3"/>
      <c r="O23" s="3"/>
      <c r="P23" s="3"/>
    </row>
    <row r="24" customFormat="false" ht="15.75" hidden="false" customHeight="true" outlineLevel="0" collapsed="false">
      <c r="A24" s="7" t="str">
        <f aca="false">08_AI_Input!A23</f>
        <v>Critical Issue Rate</v>
      </c>
      <c r="B24" s="22" t="n">
        <f aca="false">08_AI_Input!B23</f>
        <v>0.0118421052631579</v>
      </c>
      <c r="C24" s="22" t="str">
        <f aca="false">08_AI_Input!C23</f>
        <v/>
      </c>
      <c r="D24" s="27" t="str">
        <f aca="false">08_AI_Input!E23</f>
        <v/>
      </c>
      <c r="E24" s="27" t="n">
        <f aca="false">08_AI_Input!G23</f>
        <v>0.01</v>
      </c>
      <c r="F24" s="27" t="n">
        <f aca="false">08_AI_Input!H23</f>
        <v>1.18421052631579</v>
      </c>
      <c r="G24" s="7" t="str">
        <f aca="false">08_AI_Input!I23</f>
        <v>Watch</v>
      </c>
      <c r="H24" s="7" t="str">
        <f aca="false">IF(G24="On Track","Healthy performance against target",IF(G24="Watch","Improving or near target; monitor closely","Immediate corrective action required"))</f>
        <v>Improving or near target; monitor closely</v>
      </c>
      <c r="I24" s="3"/>
      <c r="J24" s="3"/>
      <c r="K24" s="3"/>
      <c r="L24" s="3"/>
      <c r="M24" s="3"/>
      <c r="N24" s="3"/>
      <c r="O24" s="3"/>
      <c r="P24" s="3"/>
    </row>
    <row r="25" customFormat="false" ht="15.75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customFormat="false" ht="15.75" hidden="false" customHeight="true" outlineLevel="0" collapsed="false">
      <c r="A26" s="5" t="s">
        <v>748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3"/>
      <c r="N26" s="3"/>
      <c r="O26" s="3"/>
      <c r="P26" s="3"/>
    </row>
    <row r="27" customFormat="false" ht="15.75" hidden="false" customHeight="true" outlineLevel="0" collapsed="false">
      <c r="A27" s="21" t="s">
        <v>147</v>
      </c>
      <c r="B27" s="21" t="s">
        <v>52</v>
      </c>
      <c r="C27" s="21" t="s">
        <v>712</v>
      </c>
      <c r="D27" s="21" t="s">
        <v>749</v>
      </c>
      <c r="E27" s="21" t="s">
        <v>171</v>
      </c>
      <c r="F27" s="21" t="s">
        <v>173</v>
      </c>
      <c r="G27" s="21" t="s">
        <v>80</v>
      </c>
      <c r="H27" s="21" t="s">
        <v>592</v>
      </c>
      <c r="I27" s="3"/>
      <c r="J27" s="3"/>
      <c r="K27" s="3"/>
      <c r="L27" s="3"/>
      <c r="M27" s="3"/>
      <c r="N27" s="3"/>
      <c r="O27" s="3"/>
      <c r="P27" s="3"/>
    </row>
    <row r="28" customFormat="false" ht="15.75" hidden="false" customHeight="true" outlineLevel="0" collapsed="false">
      <c r="A28" s="7" t="s">
        <v>157</v>
      </c>
      <c r="B28" s="7" t="n">
        <f aca="false">SUMIFS(09_Data_GA4!$I:$I,09_Data_GA4!$A:$A,"&gt;="&amp;00_Setup!$C$14,09_Data_GA4!$A:$A,"&lt;="&amp;00_Setup!$C$15,09_Data_GA4!$B:$B,A28)</f>
        <v>2006</v>
      </c>
      <c r="C28" s="7" t="n">
        <f aca="false">COUNTIFS(11_Data_Conversions!$B:$B,"&gt;="&amp;00_Setup!$C$14,11_Data_Conversions!$B:$B,"&lt;="&amp;00_Setup!$C$15,11_Data_Conversions!$C:$C,A28)</f>
        <v>28</v>
      </c>
      <c r="D28" s="27" t="n">
        <f aca="false">IF(B28=0,0,C28/B28)</f>
        <v>0.0139581256231306</v>
      </c>
      <c r="E28" s="27" t="n">
        <f aca="false">SUMIFS(10_Data_GSC!$F:$F,10_Data_GSC!$A:$A,"&gt;="&amp;00_Setup!$C$14,10_Data_GSC!$A:$A,"&lt;="&amp;00_Setup!$C$15,10_Data_GSC!$C:$C,A28)</f>
        <v>723</v>
      </c>
      <c r="F28" s="27" t="n">
        <f aca="false">IFERROR(SUMIFS(10_Data_GSC!$F:$F,10_Data_GSC!$A:$A,"&gt;="&amp;00_Setup!$C$14,10_Data_GSC!$A:$A,"&lt;="&amp;00_Setup!$C$15,10_Data_GSC!$C:$C,A28)/SUMIFS(10_Data_GSC!$G:$G,10_Data_GSC!$A:$A,"&gt;="&amp;00_Setup!$C$14,10_Data_GSC!$A:$A,"&lt;="&amp;00_Setup!$C$15,10_Data_GSC!$C:$C,A28),0)</f>
        <v>0.0273697758933979</v>
      </c>
      <c r="G28" s="7" t="str">
        <f aca="false">IF(OR(D28&lt;0.005,F28&lt;0.02),"High","Medium")</f>
        <v>Medium</v>
      </c>
      <c r="H28" s="7" t="str">
        <f aca="false">IF(D28&lt;0.005,"Improve conversion path",IF(F28&lt;0.02,"Improve title/meta CTR","Scale and protect"))</f>
        <v>Scale and protect</v>
      </c>
      <c r="I28" s="3"/>
      <c r="J28" s="3"/>
      <c r="K28" s="3"/>
      <c r="L28" s="3"/>
      <c r="M28" s="3"/>
      <c r="N28" s="3"/>
      <c r="O28" s="3"/>
      <c r="P28" s="3"/>
    </row>
    <row r="29" customFormat="false" ht="15.75" hidden="false" customHeight="true" outlineLevel="0" collapsed="false">
      <c r="A29" s="7" t="s">
        <v>161</v>
      </c>
      <c r="B29" s="7" t="n">
        <f aca="false">SUMIFS(09_Data_GA4!$I:$I,09_Data_GA4!$A:$A,"&gt;="&amp;00_Setup!$C$14,09_Data_GA4!$A:$A,"&lt;="&amp;00_Setup!$C$15,09_Data_GA4!$B:$B,A29)</f>
        <v>1957</v>
      </c>
      <c r="C29" s="7" t="n">
        <f aca="false">COUNTIFS(11_Data_Conversions!$B:$B,"&gt;="&amp;00_Setup!$C$14,11_Data_Conversions!$B:$B,"&lt;="&amp;00_Setup!$C$15,11_Data_Conversions!$C:$C,A29)</f>
        <v>35</v>
      </c>
      <c r="D29" s="27" t="n">
        <f aca="false">IF(B29=0,0,C29/B29)</f>
        <v>0.0178845171180378</v>
      </c>
      <c r="E29" s="27" t="n">
        <f aca="false">SUMIFS(10_Data_GSC!$F:$F,10_Data_GSC!$A:$A,"&gt;="&amp;00_Setup!$C$14,10_Data_GSC!$A:$A,"&lt;="&amp;00_Setup!$C$15,10_Data_GSC!$C:$C,A29)</f>
        <v>737</v>
      </c>
      <c r="F29" s="27" t="n">
        <f aca="false">IFERROR(SUMIFS(10_Data_GSC!$F:$F,10_Data_GSC!$A:$A,"&gt;="&amp;00_Setup!$C$14,10_Data_GSC!$A:$A,"&lt;="&amp;00_Setup!$C$15,10_Data_GSC!$C:$C,A29)/SUMIFS(10_Data_GSC!$G:$G,10_Data_GSC!$A:$A,"&gt;="&amp;00_Setup!$C$14,10_Data_GSC!$A:$A,"&lt;="&amp;00_Setup!$C$15,10_Data_GSC!$C:$C,A29),0)</f>
        <v>0.0274641326625675</v>
      </c>
      <c r="G29" s="7" t="str">
        <f aca="false">IF(OR(D29&lt;0.005,F29&lt;0.02),"High","Medium")</f>
        <v>Medium</v>
      </c>
      <c r="H29" s="7" t="str">
        <f aca="false">IF(D29&lt;0.005,"Improve conversion path",IF(F29&lt;0.02,"Improve title/meta CTR","Scale and protect"))</f>
        <v>Scale and protect</v>
      </c>
      <c r="I29" s="3"/>
      <c r="J29" s="3"/>
      <c r="K29" s="3"/>
      <c r="L29" s="3"/>
      <c r="M29" s="3"/>
      <c r="N29" s="3"/>
      <c r="O29" s="3"/>
      <c r="P29" s="3"/>
    </row>
    <row r="30" customFormat="false" ht="15.75" hidden="false" customHeight="true" outlineLevel="0" collapsed="false">
      <c r="A30" s="7" t="s">
        <v>162</v>
      </c>
      <c r="B30" s="7" t="n">
        <f aca="false">SUMIFS(09_Data_GA4!$I:$I,09_Data_GA4!$A:$A,"&gt;="&amp;00_Setup!$C$14,09_Data_GA4!$A:$A,"&lt;="&amp;00_Setup!$C$15,09_Data_GA4!$B:$B,A30)</f>
        <v>1467</v>
      </c>
      <c r="C30" s="7" t="n">
        <f aca="false">COUNTIFS(11_Data_Conversions!$B:$B,"&gt;="&amp;00_Setup!$C$14,11_Data_Conversions!$B:$B,"&lt;="&amp;00_Setup!$C$15,11_Data_Conversions!$C:$C,A30)</f>
        <v>35</v>
      </c>
      <c r="D30" s="27" t="n">
        <f aca="false">IF(B30=0,0,C30/B30)</f>
        <v>0.0238582140422631</v>
      </c>
      <c r="E30" s="27" t="n">
        <f aca="false">SUMIFS(10_Data_GSC!$F:$F,10_Data_GSC!$A:$A,"&gt;="&amp;00_Setup!$C$14,10_Data_GSC!$A:$A,"&lt;="&amp;00_Setup!$C$15,10_Data_GSC!$C:$C,A30)</f>
        <v>240</v>
      </c>
      <c r="F30" s="27" t="n">
        <f aca="false">IFERROR(SUMIFS(10_Data_GSC!$F:$F,10_Data_GSC!$A:$A,"&gt;="&amp;00_Setup!$C$14,10_Data_GSC!$A:$A,"&lt;="&amp;00_Setup!$C$15,10_Data_GSC!$C:$C,A30)/SUMIFS(10_Data_GSC!$G:$G,10_Data_GSC!$A:$A,"&gt;="&amp;00_Setup!$C$14,10_Data_GSC!$A:$A,"&lt;="&amp;00_Setup!$C$15,10_Data_GSC!$C:$C,A30),0)</f>
        <v>0.0122019421424577</v>
      </c>
      <c r="G30" s="7" t="str">
        <f aca="false">IF(OR(D30&lt;0.005,F30&lt;0.02),"High","Medium")</f>
        <v>High</v>
      </c>
      <c r="H30" s="7" t="str">
        <f aca="false">IF(D30&lt;0.005,"Improve conversion path",IF(F30&lt;0.02,"Improve title/meta CTR","Scale and protect"))</f>
        <v>Improve title/meta CTR</v>
      </c>
      <c r="I30" s="3"/>
      <c r="J30" s="3"/>
      <c r="K30" s="3"/>
      <c r="L30" s="3"/>
      <c r="M30" s="3"/>
      <c r="N30" s="3"/>
      <c r="O30" s="3"/>
      <c r="P30" s="3"/>
    </row>
    <row r="31" customFormat="false" ht="15.75" hidden="false" customHeight="true" outlineLevel="0" collapsed="false">
      <c r="A31" s="7" t="s">
        <v>163</v>
      </c>
      <c r="B31" s="7" t="n">
        <f aca="false">SUMIFS(09_Data_GA4!$I:$I,09_Data_GA4!$A:$A,"&gt;="&amp;00_Setup!$C$14,09_Data_GA4!$A:$A,"&lt;="&amp;00_Setup!$C$15,09_Data_GA4!$B:$B,A31)</f>
        <v>1472</v>
      </c>
      <c r="C31" s="7" t="n">
        <f aca="false">COUNTIFS(11_Data_Conversions!$B:$B,"&gt;="&amp;00_Setup!$C$14,11_Data_Conversions!$B:$B,"&lt;="&amp;00_Setup!$C$15,11_Data_Conversions!$C:$C,A31)</f>
        <v>38</v>
      </c>
      <c r="D31" s="27" t="n">
        <f aca="false">IF(B31=0,0,C31/B31)</f>
        <v>0.0258152173913043</v>
      </c>
      <c r="E31" s="27" t="n">
        <f aca="false">SUMIFS(10_Data_GSC!$F:$F,10_Data_GSC!$A:$A,"&gt;="&amp;00_Setup!$C$14,10_Data_GSC!$A:$A,"&lt;="&amp;00_Setup!$C$15,10_Data_GSC!$C:$C,A31)</f>
        <v>246</v>
      </c>
      <c r="F31" s="27" t="n">
        <f aca="false">IFERROR(SUMIFS(10_Data_GSC!$F:$F,10_Data_GSC!$A:$A,"&gt;="&amp;00_Setup!$C$14,10_Data_GSC!$A:$A,"&lt;="&amp;00_Setup!$C$15,10_Data_GSC!$C:$C,A31)/SUMIFS(10_Data_GSC!$G:$G,10_Data_GSC!$A:$A,"&gt;="&amp;00_Setup!$C$14,10_Data_GSC!$A:$A,"&lt;="&amp;00_Setup!$C$15,10_Data_GSC!$C:$C,A31),0)</f>
        <v>0.0122084367245658</v>
      </c>
      <c r="G31" s="7" t="str">
        <f aca="false">IF(OR(D31&lt;0.005,F31&lt;0.02),"High","Medium")</f>
        <v>High</v>
      </c>
      <c r="H31" s="7" t="str">
        <f aca="false">IF(D31&lt;0.005,"Improve conversion path",IF(F31&lt;0.02,"Improve title/meta CTR","Scale and protect"))</f>
        <v>Improve title/meta CTR</v>
      </c>
      <c r="I31" s="3"/>
      <c r="J31" s="3"/>
      <c r="K31" s="3"/>
      <c r="L31" s="3"/>
      <c r="M31" s="3"/>
      <c r="N31" s="3"/>
      <c r="O31" s="3"/>
      <c r="P31" s="3"/>
    </row>
    <row r="32" customFormat="false" ht="15.75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customFormat="false" ht="15.75" hidden="false" customHeight="true" outlineLevel="0" collapsed="false">
      <c r="A33" s="5" t="s">
        <v>750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3"/>
      <c r="N33" s="3"/>
      <c r="O33" s="3"/>
      <c r="P33" s="3"/>
    </row>
    <row r="34" customFormat="false" ht="15.75" hidden="false" customHeight="true" outlineLevel="0" collapsed="false">
      <c r="A34" s="6" t="s">
        <v>592</v>
      </c>
      <c r="B34" s="6" t="s">
        <v>751</v>
      </c>
      <c r="C34" s="6" t="s">
        <v>752</v>
      </c>
      <c r="D34" s="6" t="s">
        <v>81</v>
      </c>
      <c r="E34" s="6" t="s">
        <v>80</v>
      </c>
      <c r="F34" s="6" t="s">
        <v>753</v>
      </c>
      <c r="G34" s="6" t="s">
        <v>79</v>
      </c>
      <c r="H34" s="3"/>
      <c r="I34" s="3"/>
      <c r="J34" s="3"/>
      <c r="K34" s="3"/>
      <c r="L34" s="3"/>
      <c r="M34" s="3"/>
      <c r="N34" s="3"/>
      <c r="O34" s="3"/>
      <c r="P34" s="3"/>
    </row>
    <row r="35" customFormat="false" ht="15.75" hidden="false" customHeight="true" outlineLevel="0" collapsed="false">
      <c r="A35" s="7" t="s">
        <v>754</v>
      </c>
      <c r="B35" s="7" t="s">
        <v>755</v>
      </c>
      <c r="C35" s="7" t="s">
        <v>756</v>
      </c>
      <c r="D35" s="7" t="s">
        <v>86</v>
      </c>
      <c r="E35" s="7" t="s">
        <v>90</v>
      </c>
      <c r="F35" s="8" t="n">
        <v>46213</v>
      </c>
      <c r="G35" s="7" t="s">
        <v>108</v>
      </c>
      <c r="H35" s="3"/>
      <c r="I35" s="3"/>
      <c r="J35" s="3"/>
      <c r="K35" s="3"/>
      <c r="L35" s="3"/>
      <c r="M35" s="3"/>
      <c r="N35" s="3"/>
      <c r="O35" s="3"/>
      <c r="P35" s="3"/>
    </row>
    <row r="36" customFormat="false" ht="15.75" hidden="false" customHeight="true" outlineLevel="0" collapsed="false">
      <c r="A36" s="7" t="s">
        <v>757</v>
      </c>
      <c r="B36" s="7" t="s">
        <v>758</v>
      </c>
      <c r="C36" s="7" t="s">
        <v>759</v>
      </c>
      <c r="D36" s="7" t="s">
        <v>96</v>
      </c>
      <c r="E36" s="7" t="s">
        <v>85</v>
      </c>
      <c r="F36" s="8" t="n">
        <v>46215</v>
      </c>
      <c r="G36" s="7" t="s">
        <v>104</v>
      </c>
      <c r="H36" s="3"/>
      <c r="I36" s="3"/>
      <c r="J36" s="3"/>
      <c r="K36" s="3"/>
      <c r="L36" s="3"/>
      <c r="M36" s="3"/>
      <c r="N36" s="3"/>
      <c r="O36" s="3"/>
      <c r="P36" s="3"/>
    </row>
    <row r="37" customFormat="false" ht="15.75" hidden="false" customHeight="true" outlineLevel="0" collapsed="false">
      <c r="A37" s="7" t="s">
        <v>760</v>
      </c>
      <c r="B37" s="7" t="s">
        <v>761</v>
      </c>
      <c r="C37" s="7" t="s">
        <v>762</v>
      </c>
      <c r="D37" s="7" t="s">
        <v>763</v>
      </c>
      <c r="E37" s="7" t="s">
        <v>90</v>
      </c>
      <c r="F37" s="8" t="n">
        <v>46218</v>
      </c>
      <c r="G37" s="7" t="s">
        <v>108</v>
      </c>
      <c r="H37" s="3"/>
      <c r="I37" s="3"/>
      <c r="J37" s="3"/>
      <c r="K37" s="3"/>
      <c r="L37" s="3"/>
      <c r="M37" s="3"/>
      <c r="N37" s="3"/>
      <c r="O37" s="3"/>
      <c r="P37" s="3"/>
    </row>
    <row r="38" customFormat="false" ht="15.75" hidden="false" customHeight="true" outlineLevel="0" collapsed="false">
      <c r="A38" s="7" t="s">
        <v>764</v>
      </c>
      <c r="B38" s="7" t="s">
        <v>765</v>
      </c>
      <c r="C38" s="7" t="s">
        <v>766</v>
      </c>
      <c r="D38" s="7" t="s">
        <v>91</v>
      </c>
      <c r="E38" s="7" t="s">
        <v>90</v>
      </c>
      <c r="F38" s="8" t="n">
        <v>46221</v>
      </c>
      <c r="G38" s="7" t="s">
        <v>108</v>
      </c>
      <c r="H38" s="3"/>
      <c r="I38" s="3"/>
      <c r="J38" s="3"/>
      <c r="K38" s="3"/>
      <c r="L38" s="3"/>
      <c r="M38" s="3"/>
      <c r="N38" s="3"/>
      <c r="O38" s="3"/>
      <c r="P38" s="3"/>
    </row>
    <row r="39" customFormat="false" ht="15.7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customFormat="false" ht="15.75" hidden="false" customHeight="true" outlineLevel="0" collapsed="false">
      <c r="A40" s="47" t="s">
        <v>767</v>
      </c>
      <c r="B40" s="47"/>
      <c r="C40" s="47"/>
      <c r="D40" s="47"/>
      <c r="E40" s="47"/>
      <c r="F40" s="47"/>
      <c r="G40" s="47"/>
      <c r="H40" s="47"/>
      <c r="I40" s="3"/>
      <c r="J40" s="3"/>
      <c r="K40" s="3"/>
      <c r="L40" s="3"/>
      <c r="M40" s="3"/>
      <c r="N40" s="3"/>
      <c r="O40" s="3"/>
      <c r="P40" s="3"/>
    </row>
    <row r="41" customFormat="false" ht="15.75" hidden="false" customHeight="true" outlineLevel="0" collapsed="false">
      <c r="A41" s="12" t="s">
        <v>42</v>
      </c>
      <c r="B41" s="12" t="s">
        <v>704</v>
      </c>
      <c r="C41" s="12" t="s">
        <v>705</v>
      </c>
      <c r="D41" s="12" t="s">
        <v>745</v>
      </c>
      <c r="E41" s="12" t="s">
        <v>709</v>
      </c>
      <c r="F41" s="12" t="s">
        <v>746</v>
      </c>
      <c r="G41" s="12" t="s">
        <v>79</v>
      </c>
      <c r="H41" s="12" t="s">
        <v>747</v>
      </c>
      <c r="I41" s="3"/>
      <c r="J41" s="3"/>
      <c r="K41" s="3"/>
      <c r="L41" s="3"/>
      <c r="M41" s="3"/>
      <c r="N41" s="3"/>
      <c r="O41" s="3"/>
      <c r="P41" s="3"/>
    </row>
    <row r="42" customFormat="false" ht="15.75" hidden="false" customHeight="true" outlineLevel="0" collapsed="false">
      <c r="A42" s="48" t="str">
        <f aca="false">08_AI_Input!A25</f>
        <v>Customers Closed</v>
      </c>
      <c r="B42" s="34" t="n">
        <f aca="false">08_AI_Input!B25</f>
        <v>16</v>
      </c>
      <c r="C42" s="34" t="n">
        <f aca="false">08_AI_Input!C25</f>
        <v>20</v>
      </c>
      <c r="D42" s="38" t="n">
        <f aca="false">08_AI_Input!E25</f>
        <v>-0.2</v>
      </c>
      <c r="E42" s="34" t="n">
        <f aca="false">08_AI_Input!G25</f>
        <v>0</v>
      </c>
      <c r="F42" s="48" t="str">
        <f aca="false">08_AI_Input!H25</f>
        <v/>
      </c>
      <c r="G42" s="48" t="str">
        <f aca="false">08_AI_Input!I25</f>
        <v>No target</v>
      </c>
      <c r="H42" s="48" t="str">
        <f aca="false">IF(G42="On Track","Healthy performance against target",IF(G42="Watch","Improving or near target; monitor closely",IF(G42="No target","No target set -- diagnostic metric","Immediate corrective action required")))</f>
        <v>No target set -- diagnostic metric</v>
      </c>
      <c r="I42" s="3"/>
      <c r="J42" s="3"/>
      <c r="K42" s="3"/>
      <c r="L42" s="3"/>
      <c r="M42" s="3"/>
      <c r="N42" s="3"/>
      <c r="O42" s="3"/>
      <c r="P42" s="3"/>
    </row>
    <row r="43" customFormat="false" ht="15.75" hidden="false" customHeight="true" outlineLevel="0" collapsed="false">
      <c r="A43" s="48" t="str">
        <f aca="false">08_AI_Input!A26</f>
        <v>Qualified -&gt; Customer Rate</v>
      </c>
      <c r="B43" s="38" t="n">
        <f aca="false">08_AI_Input!B26</f>
        <v>0.16</v>
      </c>
      <c r="C43" s="38" t="n">
        <f aca="false">08_AI_Input!C26</f>
        <v>0.246913580246914</v>
      </c>
      <c r="D43" s="38" t="n">
        <f aca="false">08_AI_Input!E26</f>
        <v>-0.352</v>
      </c>
      <c r="E43" s="38" t="n">
        <f aca="false">08_AI_Input!G26</f>
        <v>0.2</v>
      </c>
      <c r="F43" s="48" t="n">
        <f aca="false">08_AI_Input!H26</f>
        <v>0.8</v>
      </c>
      <c r="G43" s="48" t="str">
        <f aca="false">08_AI_Input!I26</f>
        <v>Watch</v>
      </c>
      <c r="H43" s="48" t="str">
        <f aca="false">IF(G43="On Track","Healthy performance against target",IF(G43="Watch","Improving or near target; monitor closely",IF(G43="No target","No target set -- diagnostic metric","Immediate corrective action required")))</f>
        <v>Improving or near target; monitor closely</v>
      </c>
      <c r="I43" s="3"/>
      <c r="J43" s="3"/>
      <c r="K43" s="3"/>
      <c r="L43" s="3"/>
      <c r="M43" s="3"/>
      <c r="N43" s="3"/>
      <c r="O43" s="3"/>
      <c r="P43" s="3"/>
    </row>
    <row r="44" customFormat="false" ht="15.75" hidden="false" customHeight="true" outlineLevel="0" collapsed="false">
      <c r="A44" s="48" t="str">
        <f aca="false">08_AI_Input!A27</f>
        <v>Non-brand Clicks (absolute)</v>
      </c>
      <c r="B44" s="34" t="n">
        <f aca="false">08_AI_Input!B27</f>
        <v>1946</v>
      </c>
      <c r="C44" s="34" t="n">
        <f aca="false">08_AI_Input!C27</f>
        <v>1825</v>
      </c>
      <c r="D44" s="38" t="n">
        <f aca="false">08_AI_Input!E27</f>
        <v>0.0663013698630137</v>
      </c>
      <c r="E44" s="34" t="n">
        <f aca="false">08_AI_Input!G27</f>
        <v>2300</v>
      </c>
      <c r="F44" s="48" t="n">
        <f aca="false">08_AI_Input!H27</f>
        <v>0.846086956521739</v>
      </c>
      <c r="G44" s="48" t="str">
        <f aca="false">08_AI_Input!I27</f>
        <v>Watch</v>
      </c>
      <c r="H44" s="48" t="str">
        <f aca="false">IF(G44="On Track","Healthy performance against target",IF(G44="Watch","Improving or near target; monitor closely",IF(G44="No target","No target set -- diagnostic metric","Immediate corrective action required")))</f>
        <v>Improving or near target; monitor closely</v>
      </c>
      <c r="I44" s="3"/>
      <c r="J44" s="3"/>
      <c r="K44" s="3"/>
      <c r="L44" s="3"/>
      <c r="M44" s="3"/>
      <c r="N44" s="3"/>
      <c r="O44" s="3"/>
      <c r="P44" s="3"/>
    </row>
    <row r="45" customFormat="false" ht="15.75" hidden="false" customHeight="true" outlineLevel="0" collapsed="false">
      <c r="A45" s="48" t="str">
        <f aca="false">08_AI_Input!A28</f>
        <v>SEO Cost</v>
      </c>
      <c r="B45" s="34" t="n">
        <f aca="false">08_AI_Input!B28</f>
        <v>60000</v>
      </c>
      <c r="C45" s="34" t="n">
        <f aca="false">08_AI_Input!C28</f>
        <v>60000</v>
      </c>
      <c r="D45" s="38" t="n">
        <f aca="false">08_AI_Input!E28</f>
        <v>0</v>
      </c>
      <c r="E45" s="34" t="n">
        <f aca="false">08_AI_Input!G28</f>
        <v>0</v>
      </c>
      <c r="F45" s="48" t="str">
        <f aca="false">08_AI_Input!H28</f>
        <v/>
      </c>
      <c r="G45" s="48" t="str">
        <f aca="false">08_AI_Input!I28</f>
        <v>No target</v>
      </c>
      <c r="H45" s="48" t="str">
        <f aca="false">IF(G45="On Track","Healthy performance against target",IF(G45="Watch","Improving or near target; monitor closely",IF(G45="No target","No target set -- diagnostic metric","Immediate corrective action required")))</f>
        <v>No target set -- diagnostic metric</v>
      </c>
      <c r="I45" s="3"/>
      <c r="J45" s="3"/>
      <c r="K45" s="3"/>
      <c r="L45" s="3"/>
      <c r="M45" s="3"/>
      <c r="N45" s="3"/>
      <c r="O45" s="3"/>
      <c r="P45" s="3"/>
    </row>
    <row r="46" customFormat="false" ht="15.75" hidden="false" customHeight="true" outlineLevel="0" collapsed="false">
      <c r="A46" s="48" t="str">
        <f aca="false">08_AI_Input!A29</f>
        <v>Cost per Conversion</v>
      </c>
      <c r="B46" s="34" t="n">
        <f aca="false">08_AI_Input!B29</f>
        <v>441.176470588235</v>
      </c>
      <c r="C46" s="34" t="n">
        <f aca="false">08_AI_Input!C29</f>
        <v>535.714285714286</v>
      </c>
      <c r="D46" s="38" t="n">
        <f aca="false">08_AI_Input!E29</f>
        <v>-0.176470588235294</v>
      </c>
      <c r="E46" s="34" t="n">
        <f aca="false">08_AI_Input!G29</f>
        <v>0</v>
      </c>
      <c r="F46" s="48" t="str">
        <f aca="false">08_AI_Input!H29</f>
        <v/>
      </c>
      <c r="G46" s="48" t="str">
        <f aca="false">08_AI_Input!I29</f>
        <v>No target</v>
      </c>
      <c r="H46" s="48" t="str">
        <f aca="false">IF(G46="On Track","Healthy performance against target",IF(G46="Watch","Improving or near target; monitor closely",IF(G46="No target","No target set -- diagnostic metric","Immediate corrective action required")))</f>
        <v>No target set -- diagnostic metric</v>
      </c>
      <c r="I46" s="3"/>
      <c r="J46" s="3"/>
      <c r="K46" s="3"/>
      <c r="L46" s="3"/>
      <c r="M46" s="3"/>
      <c r="N46" s="3"/>
      <c r="O46" s="3"/>
      <c r="P46" s="3"/>
    </row>
    <row r="47" customFormat="false" ht="15.75" hidden="false" customHeight="true" outlineLevel="0" collapsed="false">
      <c r="A47" s="48" t="str">
        <f aca="false">08_AI_Input!A30</f>
        <v>Organic ROI</v>
      </c>
      <c r="B47" s="38" t="n">
        <f aca="false">08_AI_Input!B30</f>
        <v>27.6686333333333</v>
      </c>
      <c r="C47" s="38" t="n">
        <f aca="false">08_AI_Input!C30</f>
        <v>21.46495</v>
      </c>
      <c r="D47" s="38" t="n">
        <f aca="false">08_AI_Input!E30</f>
        <v>0.289014571817467</v>
      </c>
      <c r="E47" s="38" t="n">
        <f aca="false">08_AI_Input!G30</f>
        <v>3</v>
      </c>
      <c r="F47" s="48" t="n">
        <f aca="false">08_AI_Input!H30</f>
        <v>9.22287777777778</v>
      </c>
      <c r="G47" s="48" t="str">
        <f aca="false">08_AI_Input!I30</f>
        <v>On Track</v>
      </c>
      <c r="H47" s="48" t="str">
        <f aca="false">IF(G47="On Track","Healthy performance against target",IF(G47="Watch","Improving or near target; monitor closely",IF(G47="No target","No target set -- diagnostic metric","Immediate corrective action required")))</f>
        <v>Healthy performance against target</v>
      </c>
      <c r="I47" s="3"/>
      <c r="J47" s="3"/>
      <c r="K47" s="3"/>
      <c r="L47" s="3"/>
      <c r="M47" s="3"/>
      <c r="N47" s="3"/>
      <c r="O47" s="3"/>
      <c r="P47" s="3"/>
    </row>
    <row r="48" customFormat="false" ht="15.75" hidden="false" customHeight="true" outlineLevel="0" collapsed="false">
      <c r="A48" s="48" t="str">
        <f aca="false">08_AI_Input!A31</f>
        <v>Organic Click Value</v>
      </c>
      <c r="B48" s="34" t="n">
        <f aca="false">08_AI_Input!B31</f>
        <v>315855</v>
      </c>
      <c r="C48" s="34" t="n">
        <f aca="false">08_AI_Input!C31</f>
        <v>222885</v>
      </c>
      <c r="D48" s="38" t="n">
        <f aca="false">08_AI_Input!E31</f>
        <v>0.417120936805976</v>
      </c>
      <c r="E48" s="34" t="n">
        <f aca="false">08_AI_Input!G31</f>
        <v>0</v>
      </c>
      <c r="F48" s="48" t="str">
        <f aca="false">08_AI_Input!H31</f>
        <v/>
      </c>
      <c r="G48" s="48" t="str">
        <f aca="false">08_AI_Input!I31</f>
        <v>No target</v>
      </c>
      <c r="H48" s="48" t="str">
        <f aca="false">IF(G48="On Track","Healthy performance against target",IF(G48="Watch","Improving or near target; monitor closely",IF(G48="No target","No target set -- diagnostic metric","Immediate corrective action required")))</f>
        <v>No target set -- diagnostic metric</v>
      </c>
      <c r="I48" s="3"/>
      <c r="J48" s="3"/>
      <c r="K48" s="3"/>
      <c r="L48" s="3"/>
      <c r="M48" s="3"/>
      <c r="N48" s="3"/>
      <c r="O48" s="3"/>
      <c r="P48" s="3"/>
    </row>
    <row r="49" customFormat="false" ht="15.75" hidden="false" customHeight="true" outlineLevel="0" collapsed="false">
      <c r="A49" s="48" t="str">
        <f aca="false">08_AI_Input!A32</f>
        <v>Weighted Visibility</v>
      </c>
      <c r="B49" s="38" t="n">
        <f aca="false">08_AI_Input!B32</f>
        <v>0.186</v>
      </c>
      <c r="C49" s="38" t="n">
        <f aca="false">08_AI_Input!C32</f>
        <v>0.1637</v>
      </c>
      <c r="D49" s="38" t="n">
        <f aca="false">08_AI_Input!E32</f>
        <v>0.136224801466097</v>
      </c>
      <c r="E49" s="38" t="n">
        <f aca="false">08_AI_Input!G32</f>
        <v>0.2</v>
      </c>
      <c r="F49" s="48" t="n">
        <f aca="false">08_AI_Input!H32</f>
        <v>0.93</v>
      </c>
      <c r="G49" s="48" t="str">
        <f aca="false">08_AI_Input!I32</f>
        <v>Watch</v>
      </c>
      <c r="H49" s="48" t="str">
        <f aca="false">IF(G49="On Track","Healthy performance against target",IF(G49="Watch","Improving or near target; monitor closely",IF(G49="No target","No target set -- diagnostic metric","Immediate corrective action required")))</f>
        <v>Improving or near target; monitor closely</v>
      </c>
      <c r="I49" s="3"/>
      <c r="J49" s="3"/>
      <c r="K49" s="3"/>
      <c r="L49" s="3"/>
      <c r="M49" s="3"/>
      <c r="N49" s="3"/>
      <c r="O49" s="3"/>
      <c r="P49" s="3"/>
    </row>
    <row r="50" customFormat="false" ht="15.75" hidden="false" customHeight="true" outlineLevel="0" collapsed="false">
      <c r="A50" s="48" t="str">
        <f aca="false">08_AI_Input!A33</f>
        <v>Net Referring Domains (month)</v>
      </c>
      <c r="B50" s="34" t="n">
        <f aca="false">08_AI_Input!B33</f>
        <v>31</v>
      </c>
      <c r="C50" s="34" t="n">
        <f aca="false">08_AI_Input!C33</f>
        <v>27</v>
      </c>
      <c r="D50" s="38" t="n">
        <f aca="false">08_AI_Input!E33</f>
        <v>0.148148148148148</v>
      </c>
      <c r="E50" s="34" t="n">
        <f aca="false">08_AI_Input!G33</f>
        <v>20</v>
      </c>
      <c r="F50" s="48" t="n">
        <f aca="false">08_AI_Input!H33</f>
        <v>1.55</v>
      </c>
      <c r="G50" s="48" t="str">
        <f aca="false">08_AI_Input!I33</f>
        <v>On Track</v>
      </c>
      <c r="H50" s="48" t="str">
        <f aca="false">IF(G50="On Track","Healthy performance against target",IF(G50="Watch","Improving or near target; monitor closely",IF(G50="No target","No target set -- diagnostic metric","Immediate corrective action required")))</f>
        <v>Healthy performance against target</v>
      </c>
      <c r="I50" s="3"/>
      <c r="J50" s="3"/>
      <c r="K50" s="3"/>
      <c r="L50" s="3"/>
      <c r="M50" s="3"/>
      <c r="N50" s="3"/>
      <c r="O50" s="3"/>
      <c r="P50" s="3"/>
    </row>
    <row r="51" customFormat="false" ht="15.7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customFormat="false" ht="31.5" hidden="false" customHeight="true" outlineLevel="0" collapsed="false">
      <c r="A52" s="39" t="s">
        <v>768</v>
      </c>
      <c r="B52" s="39"/>
      <c r="C52" s="39"/>
      <c r="D52" s="39"/>
      <c r="E52" s="39"/>
      <c r="F52" s="39"/>
      <c r="G52" s="39"/>
      <c r="H52" s="39"/>
      <c r="I52" s="3"/>
      <c r="J52" s="3"/>
      <c r="K52" s="3"/>
      <c r="L52" s="3"/>
      <c r="M52" s="3"/>
      <c r="N52" s="3"/>
      <c r="O52" s="3"/>
      <c r="P52" s="3"/>
    </row>
    <row r="53" customFormat="false" ht="15.7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customFormat="false" ht="15.75" hidden="false" customHeight="true" outlineLevel="0" collapsed="false">
      <c r="A54" s="47" t="s">
        <v>769</v>
      </c>
      <c r="B54" s="47"/>
      <c r="C54" s="47"/>
      <c r="D54" s="47"/>
      <c r="E54" s="47"/>
      <c r="F54" s="47"/>
      <c r="G54" s="47"/>
      <c r="H54" s="47"/>
      <c r="I54" s="3"/>
      <c r="J54" s="3"/>
      <c r="K54" s="3"/>
      <c r="L54" s="3"/>
      <c r="M54" s="3"/>
      <c r="N54" s="3"/>
      <c r="O54" s="3"/>
      <c r="P54" s="3"/>
    </row>
    <row r="55" customFormat="false" ht="15.75" hidden="false" customHeight="true" outlineLevel="0" collapsed="false">
      <c r="A55" s="49" t="s">
        <v>58</v>
      </c>
      <c r="B55" s="3"/>
      <c r="C55" s="3"/>
      <c r="D55" s="49" t="s">
        <v>728</v>
      </c>
      <c r="E55" s="3"/>
      <c r="F55" s="3"/>
      <c r="G55" s="49" t="s">
        <v>770</v>
      </c>
      <c r="H55" s="3"/>
      <c r="I55" s="3"/>
      <c r="J55" s="3"/>
      <c r="K55" s="3"/>
      <c r="L55" s="3"/>
      <c r="M55" s="3"/>
      <c r="N55" s="3"/>
      <c r="O55" s="3"/>
      <c r="P55" s="3"/>
    </row>
    <row r="56" customFormat="false" ht="15.75" hidden="false" customHeight="true" outlineLevel="0" collapsed="false">
      <c r="A56" s="50" t="n">
        <f aca="false">08_AI_Input!B20</f>
        <v>0.277247471149736</v>
      </c>
      <c r="B56" s="3"/>
      <c r="C56" s="3"/>
      <c r="D56" s="51" t="n">
        <f aca="false">08_AI_Input!B27</f>
        <v>1946</v>
      </c>
      <c r="E56" s="3"/>
      <c r="F56" s="3"/>
      <c r="G56" s="50" t="n">
        <f aca="false">08_AI_Input!B26</f>
        <v>0.16</v>
      </c>
      <c r="H56" s="3"/>
      <c r="I56" s="3"/>
      <c r="J56" s="3"/>
      <c r="K56" s="3"/>
      <c r="L56" s="3"/>
      <c r="M56" s="3"/>
      <c r="N56" s="3"/>
      <c r="O56" s="3"/>
      <c r="P56" s="3"/>
    </row>
    <row r="57" customFormat="false" ht="15.75" hidden="false" customHeight="true" outlineLevel="0" collapsed="false">
      <c r="A57" s="52" t="str">
        <f aca="false">TEXT(08_AI_Input!E20,"+0.0%;-0.0%")&amp;" MoM  |  target "&amp;TEXT(00_Setup!$C$54,"0%")&amp;" (90-day)"</f>
        <v>-24.8% MoM  |  target 34% (90-day)</v>
      </c>
      <c r="B57" s="3"/>
      <c r="C57" s="3"/>
      <c r="D57" s="52" t="str">
        <f aca="false">TEXT(08_AI_Input!E27,"+0.0%;-0.0%")&amp;" MoM"</f>
        <v>+6.6% MoM</v>
      </c>
      <c r="E57" s="3"/>
      <c r="F57" s="3"/>
      <c r="G57" s="52" t="str">
        <f aca="false">TEXT(08_AI_Input!E26,"+0.0%;-0.0%")&amp;" MoM  |  was "&amp;TEXT(08_AI_Input!D26,"0.0%")&amp;" a year ago"</f>
        <v>-35.2% MoM  |  was 23.4% a year ago</v>
      </c>
      <c r="H57" s="3"/>
      <c r="I57" s="3"/>
      <c r="J57" s="3"/>
      <c r="K57" s="3"/>
      <c r="L57" s="3"/>
      <c r="M57" s="3"/>
      <c r="N57" s="3"/>
      <c r="O57" s="3"/>
      <c r="P57" s="3"/>
    </row>
    <row r="58" customFormat="false" ht="15.7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customFormat="false" ht="15.75" hidden="false" customHeight="true" outlineLevel="0" collapsed="false">
      <c r="A59" s="49" t="s">
        <v>734</v>
      </c>
      <c r="B59" s="3"/>
      <c r="C59" s="3"/>
      <c r="D59" s="49" t="s">
        <v>733</v>
      </c>
      <c r="E59" s="3"/>
      <c r="F59" s="3"/>
      <c r="G59" s="49" t="s">
        <v>732</v>
      </c>
      <c r="H59" s="3"/>
      <c r="I59" s="3"/>
      <c r="J59" s="3"/>
      <c r="K59" s="3"/>
      <c r="L59" s="3"/>
      <c r="M59" s="3"/>
      <c r="N59" s="3"/>
      <c r="O59" s="3"/>
      <c r="P59" s="3"/>
    </row>
    <row r="60" customFormat="false" ht="15.75" hidden="false" customHeight="true" outlineLevel="0" collapsed="false">
      <c r="A60" s="51" t="n">
        <f aca="false">08_AI_Input!B31</f>
        <v>315855</v>
      </c>
      <c r="B60" s="3"/>
      <c r="C60" s="3"/>
      <c r="D60" s="53" t="n">
        <f aca="false">08_AI_Input!B30</f>
        <v>27.6686333333333</v>
      </c>
      <c r="E60" s="3"/>
      <c r="F60" s="3"/>
      <c r="G60" s="51" t="n">
        <f aca="false">08_AI_Input!B29</f>
        <v>441.176470588235</v>
      </c>
      <c r="H60" s="3"/>
      <c r="I60" s="3"/>
      <c r="J60" s="3"/>
      <c r="K60" s="3"/>
      <c r="L60" s="3"/>
      <c r="M60" s="3"/>
      <c r="N60" s="3"/>
      <c r="O60" s="3"/>
      <c r="P60" s="3"/>
    </row>
    <row r="61" customFormat="false" ht="15.75" hidden="false" customHeight="true" outlineLevel="0" collapsed="false">
      <c r="A61" s="52" t="str">
        <f aca="false">"Paid-media value replaced this period, at benchmark CPC"</f>
        <v>Paid-media value replaced this period, at benchmark CPC</v>
      </c>
      <c r="B61" s="3"/>
      <c r="C61" s="3"/>
      <c r="D61" s="52" t="str">
        <f aca="false">"(Pipeline - SEO cost) / SEO cost. Target: 3.0x"</f>
        <v>(Pipeline - SEO cost) / SEO cost. Target: 3.0x</v>
      </c>
      <c r="E61" s="3"/>
      <c r="F61" s="3"/>
      <c r="G61" s="52" t="str">
        <f aca="false">"SEO cost / conversions. No cost field existed in the source workbook."</f>
        <v>SEO cost / conversions. No cost field existed in the source workbook.</v>
      </c>
      <c r="H61" s="3"/>
      <c r="I61" s="3"/>
      <c r="J61" s="3"/>
      <c r="K61" s="3"/>
      <c r="L61" s="3"/>
      <c r="M61" s="3"/>
      <c r="N61" s="3"/>
      <c r="O61" s="3"/>
      <c r="P61" s="3"/>
    </row>
    <row r="62" customFormat="false" ht="15.7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 customFormat="false" ht="15.75" hidden="false" customHeight="true" outlineLevel="0" collapsed="false">
      <c r="A63" s="47" t="s">
        <v>771</v>
      </c>
      <c r="B63" s="47"/>
      <c r="C63" s="47"/>
      <c r="D63" s="47"/>
      <c r="E63" s="47"/>
      <c r="F63" s="47"/>
      <c r="G63" s="47"/>
      <c r="H63" s="47"/>
      <c r="I63" s="3"/>
      <c r="J63" s="3"/>
      <c r="K63" s="3"/>
      <c r="L63" s="3"/>
      <c r="M63" s="3"/>
      <c r="N63" s="3"/>
      <c r="O63" s="3"/>
      <c r="P63" s="3"/>
    </row>
    <row r="64" customFormat="false" ht="15.75" hidden="false" customHeight="true" outlineLevel="0" collapsed="false">
      <c r="A64" s="12" t="s">
        <v>170</v>
      </c>
      <c r="B64" s="12" t="s">
        <v>147</v>
      </c>
      <c r="C64" s="12" t="s">
        <v>126</v>
      </c>
      <c r="D64" s="12" t="s">
        <v>172</v>
      </c>
      <c r="E64" s="12" t="s">
        <v>173</v>
      </c>
      <c r="F64" s="12" t="s">
        <v>127</v>
      </c>
      <c r="G64" s="12" t="s">
        <v>772</v>
      </c>
      <c r="H64" s="12" t="s">
        <v>592</v>
      </c>
      <c r="I64" s="3"/>
      <c r="J64" s="3"/>
      <c r="K64" s="3"/>
      <c r="L64" s="3"/>
      <c r="M64" s="3"/>
      <c r="N64" s="3"/>
      <c r="O64" s="3"/>
      <c r="P64" s="3"/>
    </row>
    <row r="65" customFormat="false" ht="15.75" hidden="false" customHeight="true" outlineLevel="0" collapsed="false">
      <c r="A65" s="54" t="str">
        <f aca="false">IFERROR(INDEX(04_Page_Query_Analysis!$A$14:$A$17,MATCH(LARGE(04_Page_Query_Analysis!$M$14:$M$17,1),04_Page_Query_Analysis!$M$14:$M$17,0)),"")</f>
        <v>best service b</v>
      </c>
      <c r="B65" s="54" t="str">
        <f aca="false">IF($A65="","",IFERROR(INDEX(04_Page_Query_Analysis!$B$14:$B$17,MATCH($A65,04_Page_Query_Analysis!$A$14:$A$17,0)),""))</f>
        <v>/service-b/</v>
      </c>
      <c r="C65" s="55" t="n">
        <f aca="false">IF($A65="","",IFERROR(INDEX(04_Page_Query_Analysis!$F$14:$F$17,MATCH($A65,04_Page_Query_Analysis!$A$14:$A$17,0)),""))</f>
        <v>7.42847922489286</v>
      </c>
      <c r="D65" s="54" t="n">
        <f aca="false">IF($A65="","",IFERROR(INDEX(04_Page_Query_Analysis!$D$14:$D$17,MATCH($A65,04_Page_Query_Analysis!$A$14:$A$17,0)),""))</f>
        <v>26835</v>
      </c>
      <c r="E65" s="56" t="n">
        <f aca="false">IF($A65="","",IFERROR(INDEX(04_Page_Query_Analysis!$E$14:$E$17,MATCH($A65,04_Page_Query_Analysis!$A$14:$A$17,0)),""))</f>
        <v>0.0274641326625675</v>
      </c>
      <c r="F65" s="56" t="n">
        <f aca="false">IF($A65="","",IFERROR(INDEX(04_Page_Query_Analysis!$G$14:$G$17,MATCH($A65,04_Page_Query_Analysis!$A$14:$A$17,0)),""))</f>
        <v>0.043</v>
      </c>
      <c r="G65" s="16" t="n">
        <f aca="false">IF($A65="","",IFERROR(INDEX(04_Page_Query_Analysis!$M$14:$M$17,MATCH($A65,04_Page_Query_Analysis!$A$14:$A$17,0)),""))</f>
        <v>625</v>
      </c>
      <c r="H65" s="54" t="str">
        <f aca="false">IF($A65="","",IFERROR(INDEX(04_Page_Query_Analysis!$L$14:$L$17,MATCH($A65,04_Page_Query_Analysis!$A$14:$A$17,0)),""))</f>
        <v>Improve CTR / push Top 3</v>
      </c>
      <c r="I65" s="3"/>
      <c r="J65" s="3"/>
      <c r="K65" s="3"/>
      <c r="L65" s="3"/>
      <c r="M65" s="3"/>
      <c r="N65" s="3"/>
      <c r="O65" s="3"/>
      <c r="P65" s="3"/>
    </row>
    <row r="66" customFormat="false" ht="15.75" hidden="false" customHeight="true" outlineLevel="0" collapsed="false">
      <c r="A66" s="54" t="str">
        <f aca="false">IFERROR(INDEX(04_Page_Query_Analysis!$A$14:$A$17,MATCH(LARGE(04_Page_Query_Analysis!$M$14:$M$17,2),04_Page_Query_Analysis!$M$14:$M$17,0)),"")</f>
        <v>service a provider</v>
      </c>
      <c r="B66" s="54" t="str">
        <f aca="false">IF($A66="","",IFERROR(INDEX(04_Page_Query_Analysis!$B$14:$B$17,MATCH($A66,04_Page_Query_Analysis!$A$14:$A$17,0)),""))</f>
        <v>/service-a/</v>
      </c>
      <c r="C66" s="55" t="n">
        <f aca="false">IF($A66="","",IFERROR(INDEX(04_Page_Query_Analysis!$F$14:$F$17,MATCH($A66,04_Page_Query_Analysis!$A$14:$A$17,0)),""))</f>
        <v>7.36823478195033</v>
      </c>
      <c r="D66" s="54" t="n">
        <f aca="false">IF($A66="","",IFERROR(INDEX(04_Page_Query_Analysis!$D$14:$D$17,MATCH($A66,04_Page_Query_Analysis!$A$14:$A$17,0)),""))</f>
        <v>26416</v>
      </c>
      <c r="E66" s="56" t="n">
        <f aca="false">IF($A66="","",IFERROR(INDEX(04_Page_Query_Analysis!$E$14:$E$17,MATCH($A66,04_Page_Query_Analysis!$A$14:$A$17,0)),""))</f>
        <v>0.0273697758933979</v>
      </c>
      <c r="F66" s="56" t="n">
        <f aca="false">IF($A66="","",IFERROR(INDEX(04_Page_Query_Analysis!$G$14:$G$17,MATCH($A66,04_Page_Query_Analysis!$A$14:$A$17,0)),""))</f>
        <v>0.043</v>
      </c>
      <c r="G66" s="16" t="n">
        <f aca="false">IF($A66="","",IFERROR(INDEX(04_Page_Query_Analysis!$M$14:$M$17,MATCH($A66,04_Page_Query_Analysis!$A$14:$A$17,0)),""))</f>
        <v>619</v>
      </c>
      <c r="H66" s="54" t="str">
        <f aca="false">IF($A66="","",IFERROR(INDEX(04_Page_Query_Analysis!$L$14:$L$17,MATCH($A66,04_Page_Query_Analysis!$A$14:$A$17,0)),""))</f>
        <v>Improve CTR / push Top 3</v>
      </c>
      <c r="I66" s="3"/>
      <c r="J66" s="3"/>
      <c r="K66" s="3"/>
      <c r="L66" s="3"/>
      <c r="M66" s="3"/>
      <c r="N66" s="3"/>
      <c r="O66" s="3"/>
      <c r="P66" s="3"/>
    </row>
    <row r="67" customFormat="false" ht="15.75" hidden="false" customHeight="true" outlineLevel="0" collapsed="false">
      <c r="A67" s="54" t="str">
        <f aca="false">IFERROR(INDEX(04_Page_Query_Analysis!$A$14:$A$17,MATCH(LARGE(04_Page_Query_Analysis!$M$14:$M$17,3),04_Page_Query_Analysis!$M$14:$M$17,0)),"")</f>
        <v>topic b checklist</v>
      </c>
      <c r="B67" s="54" t="str">
        <f aca="false">IF($A67="","",IFERROR(INDEX(04_Page_Query_Analysis!$B$14:$B$17,MATCH($A67,04_Page_Query_Analysis!$A$14:$A$17,0)),""))</f>
        <v>/blog/topic-b/</v>
      </c>
      <c r="C67" s="55" t="n">
        <f aca="false">IF($A67="","",IFERROR(INDEX(04_Page_Query_Analysis!$F$14:$F$17,MATCH($A67,04_Page_Query_Analysis!$A$14:$A$17,0)),""))</f>
        <v>11.8648426799007</v>
      </c>
      <c r="D67" s="54" t="n">
        <f aca="false">IF($A67="","",IFERROR(INDEX(04_Page_Query_Analysis!$D$14:$D$17,MATCH($A67,04_Page_Query_Analysis!$A$14:$A$17,0)),""))</f>
        <v>20150</v>
      </c>
      <c r="E67" s="56" t="n">
        <f aca="false">IF($A67="","",IFERROR(INDEX(04_Page_Query_Analysis!$E$14:$E$17,MATCH($A67,04_Page_Query_Analysis!$A$14:$A$17,0)),""))</f>
        <v>0.0122084367245658</v>
      </c>
      <c r="F67" s="56" t="n">
        <f aca="false">IF($A67="","",IFERROR(INDEX(04_Page_Query_Analysis!$G$14:$G$17,MATCH($A67,04_Page_Query_Analysis!$A$14:$A$17,0)),""))</f>
        <v>0.021</v>
      </c>
      <c r="G67" s="16" t="n">
        <f aca="false">IF($A67="","",IFERROR(INDEX(04_Page_Query_Analysis!$M$14:$M$17,MATCH($A67,04_Page_Query_Analysis!$A$14:$A$17,0)),""))</f>
        <v>177</v>
      </c>
      <c r="H67" s="54" t="str">
        <f aca="false">IF($A67="","",IFERROR(INDEX(04_Page_Query_Analysis!$L$14:$L$17,MATCH($A67,04_Page_Query_Analysis!$A$14:$A$17,0)),""))</f>
        <v>Improve content and authority</v>
      </c>
      <c r="I67" s="3"/>
      <c r="J67" s="3"/>
      <c r="K67" s="3"/>
      <c r="L67" s="3"/>
      <c r="M67" s="3"/>
      <c r="N67" s="3"/>
      <c r="O67" s="3"/>
      <c r="P67" s="3"/>
    </row>
    <row r="68" customFormat="false" ht="15.75" hidden="false" customHeight="true" outlineLevel="0" collapsed="false">
      <c r="A68" s="54" t="str">
        <f aca="false">IFERROR(INDEX(04_Page_Query_Analysis!$A$14:$A$17,MATCH(LARGE(04_Page_Query_Analysis!$M$14:$M$17,4),04_Page_Query_Analysis!$M$14:$M$17,0)),"")</f>
        <v>topic a guide</v>
      </c>
      <c r="B68" s="54" t="str">
        <f aca="false">IF($A68="","",IFERROR(INDEX(04_Page_Query_Analysis!$B$14:$B$17,MATCH($A68,04_Page_Query_Analysis!$A$14:$A$17,0)),""))</f>
        <v>/blog/topic-a/</v>
      </c>
      <c r="C68" s="55" t="n">
        <f aca="false">IF($A68="","",IFERROR(INDEX(04_Page_Query_Analysis!$F$14:$F$17,MATCH($A68,04_Page_Query_Analysis!$A$14:$A$17,0)),""))</f>
        <v>11.75353602115</v>
      </c>
      <c r="D68" s="54" t="n">
        <f aca="false">IF($A68="","",IFERROR(INDEX(04_Page_Query_Analysis!$D$14:$D$17,MATCH($A68,04_Page_Query_Analysis!$A$14:$A$17,0)),""))</f>
        <v>19669</v>
      </c>
      <c r="E68" s="56" t="n">
        <f aca="false">IF($A68="","",IFERROR(INDEX(04_Page_Query_Analysis!$E$14:$E$17,MATCH($A68,04_Page_Query_Analysis!$A$14:$A$17,0)),""))</f>
        <v>0.0122019421424577</v>
      </c>
      <c r="F68" s="56" t="n">
        <f aca="false">IF($A68="","",IFERROR(INDEX(04_Page_Query_Analysis!$G$14:$G$17,MATCH($A68,04_Page_Query_Analysis!$A$14:$A$17,0)),""))</f>
        <v>0.021</v>
      </c>
      <c r="G68" s="16" t="n">
        <f aca="false">IF($A68="","",IFERROR(INDEX(04_Page_Query_Analysis!$M$14:$M$17,MATCH($A68,04_Page_Query_Analysis!$A$14:$A$17,0)),""))</f>
        <v>173</v>
      </c>
      <c r="H68" s="54" t="str">
        <f aca="false">IF($A68="","",IFERROR(INDEX(04_Page_Query_Analysis!$L$14:$L$17,MATCH($A68,04_Page_Query_Analysis!$A$14:$A$17,0)),""))</f>
        <v>Improve content and authority</v>
      </c>
      <c r="I68" s="3"/>
      <c r="J68" s="3"/>
      <c r="K68" s="3"/>
      <c r="L68" s="3"/>
      <c r="M68" s="3"/>
      <c r="N68" s="3"/>
      <c r="O68" s="3"/>
      <c r="P68" s="3"/>
    </row>
    <row r="69" customFormat="false" ht="15.7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customFormat="false" ht="15.7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customFormat="false" ht="15.7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customFormat="false" ht="15.7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customFormat="false" ht="15.7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</row>
    <row r="74" customFormat="false" ht="15.7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 customFormat="false" ht="15.7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</row>
    <row r="76" customFormat="false" ht="15.7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</row>
    <row r="77" customFormat="false" ht="15.7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</row>
    <row r="78" customFormat="false" ht="15.7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customFormat="false" ht="15.7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</row>
    <row r="80" customFormat="false" ht="15.7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</row>
    <row r="81" customFormat="false" ht="15.7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customFormat="false" ht="15.7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customFormat="false" ht="15.7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</row>
    <row r="84" customFormat="false" ht="15.7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</row>
    <row r="85" customFormat="false" ht="15.7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customFormat="false" ht="15.7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</row>
    <row r="87" customFormat="false" ht="15.7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</row>
    <row r="88" customFormat="false" ht="15.7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</row>
    <row r="89" customFormat="false" ht="15.7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</row>
    <row r="90" customFormat="false" ht="15.7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customFormat="false" ht="15.7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</row>
    <row r="92" customFormat="false" ht="15.7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customFormat="false" ht="15.7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</row>
    <row r="94" customFormat="false" ht="15.7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</row>
    <row r="95" customFormat="false" ht="15.7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customFormat="false" ht="15.7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</row>
    <row r="97" customFormat="false" ht="15.7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</row>
    <row r="98" customFormat="false" ht="15.7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</row>
    <row r="99" customFormat="false" ht="15.7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</row>
    <row r="100" customFormat="false" ht="15.7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</row>
    <row r="101" customFormat="false" ht="15.7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</row>
    <row r="102" customFormat="false" ht="15.7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</row>
    <row r="103" customFormat="false" ht="15.7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</row>
    <row r="104" customFormat="false" ht="15.7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customFormat="false" ht="15.7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</row>
    <row r="106" customFormat="false" ht="15.7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</row>
    <row r="107" customFormat="false" ht="15.7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</row>
    <row r="108" customFormat="false" ht="15.7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</row>
    <row r="109" customFormat="false" ht="15.7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</row>
    <row r="110" customFormat="false" ht="15.7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</row>
    <row r="111" customFormat="false" ht="15.7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</row>
    <row r="112" customFormat="false" ht="15.7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</row>
    <row r="113" customFormat="false" ht="15.7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</row>
    <row r="114" customFormat="false" ht="15.7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</row>
    <row r="115" customFormat="false" ht="15.7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</row>
    <row r="116" customFormat="false" ht="15.7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</row>
    <row r="117" customFormat="false" ht="15.7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</row>
    <row r="118" customFormat="false" ht="15.7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</row>
    <row r="119" customFormat="false" ht="15.7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</row>
    <row r="120" customFormat="false" ht="15.7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</row>
    <row r="121" customFormat="false" ht="15.7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</row>
    <row r="122" customFormat="false" ht="15.7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</row>
    <row r="123" customFormat="false" ht="15.7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</row>
    <row r="124" customFormat="false" ht="15.7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</row>
    <row r="125" customFormat="false" ht="15.7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</row>
    <row r="126" customFormat="false" ht="15.7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</row>
    <row r="127" customFormat="false" ht="15.7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</row>
    <row r="128" customFormat="false" ht="15.7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</row>
    <row r="129" customFormat="false" ht="15.7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</row>
    <row r="130" customFormat="false" ht="15.7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</row>
    <row r="131" customFormat="false" ht="15.7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</row>
    <row r="132" customFormat="false" ht="15.7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</row>
    <row r="133" customFormat="false" ht="15.7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</row>
    <row r="134" customFormat="false" ht="15.7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</row>
    <row r="135" customFormat="false" ht="15.7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</row>
    <row r="136" customFormat="false" ht="15.7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</row>
    <row r="137" customFormat="false" ht="15.7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</row>
    <row r="138" customFormat="false" ht="15.7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</row>
    <row r="139" customFormat="false" ht="15.7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</row>
    <row r="140" customFormat="false" ht="15.7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</row>
    <row r="141" customFormat="false" ht="15.7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</row>
    <row r="142" customFormat="false" ht="15.7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</row>
    <row r="143" customFormat="false" ht="15.7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</row>
    <row r="144" customFormat="false" ht="15.7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</row>
    <row r="145" customFormat="false" ht="15.7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</row>
    <row r="146" customFormat="false" ht="15.7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</row>
    <row r="147" customFormat="false" ht="15.7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</row>
    <row r="148" customFormat="false" ht="15.7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</row>
    <row r="149" customFormat="false" ht="15.7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</row>
    <row r="150" customFormat="false" ht="15.7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</row>
    <row r="151" customFormat="false" ht="15.7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</row>
    <row r="152" customFormat="false" ht="15.7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</row>
    <row r="153" customFormat="false" ht="15.7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</row>
    <row r="154" customFormat="false" ht="15.7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</row>
    <row r="155" customFormat="false" ht="15.7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</row>
    <row r="156" customFormat="false" ht="15.7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</row>
    <row r="157" customFormat="false" ht="15.7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</row>
    <row r="158" customFormat="false" ht="15.7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</row>
    <row r="159" customFormat="false" ht="15.7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</row>
    <row r="160" customFormat="false" ht="15.7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</row>
    <row r="161" customFormat="false" ht="15.7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</row>
    <row r="162" customFormat="false" ht="15.7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</row>
    <row r="163" customFormat="false" ht="15.7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</row>
    <row r="164" customFormat="false" ht="15.7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</row>
    <row r="165" customFormat="false" ht="15.7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</row>
    <row r="166" customFormat="false" ht="15.7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</row>
    <row r="167" customFormat="false" ht="15.7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</row>
    <row r="168" customFormat="false" ht="15.7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</row>
    <row r="169" customFormat="false" ht="15.7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</row>
    <row r="170" customFormat="false" ht="15.7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</row>
    <row r="171" customFormat="false" ht="15.7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</row>
    <row r="172" customFormat="false" ht="15.7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</row>
    <row r="173" customFormat="false" ht="15.7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</row>
    <row r="174" customFormat="false" ht="15.7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</row>
    <row r="175" customFormat="false" ht="15.7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</row>
    <row r="176" customFormat="false" ht="15.7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</row>
    <row r="177" customFormat="false" ht="15.7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</row>
    <row r="178" customFormat="false" ht="15.7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</row>
    <row r="179" customFormat="false" ht="15.7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</row>
    <row r="180" customFormat="false" ht="15.7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</row>
    <row r="181" customFormat="false" ht="15.7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</row>
    <row r="182" customFormat="false" ht="15.7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</row>
    <row r="183" customFormat="false" ht="15.7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</row>
    <row r="184" customFormat="false" ht="15.7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</row>
    <row r="185" customFormat="false" ht="15.7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</row>
    <row r="186" customFormat="false" ht="15.7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</row>
    <row r="187" customFormat="false" ht="15.7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</row>
    <row r="188" customFormat="false" ht="15.7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</row>
    <row r="189" customFormat="false" ht="15.7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</row>
    <row r="190" customFormat="false" ht="15.7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</row>
    <row r="191" customFormat="false" ht="15.7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</row>
    <row r="192" customFormat="false" ht="15.7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</row>
    <row r="193" customFormat="false" ht="15.7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</row>
    <row r="194" customFormat="false" ht="15.7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</row>
    <row r="195" customFormat="false" ht="15.7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</row>
    <row r="196" customFormat="false" ht="15.7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</row>
    <row r="197" customFormat="false" ht="15.7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</row>
    <row r="198" customFormat="false" ht="15.7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</row>
    <row r="199" customFormat="false" ht="15.7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</row>
    <row r="200" customFormat="false" ht="15.7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</row>
    <row r="201" customFormat="false" ht="15.7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</row>
    <row r="202" customFormat="false" ht="15.7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</row>
    <row r="203" customFormat="false" ht="15.7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</row>
    <row r="204" customFormat="false" ht="15.7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</row>
    <row r="205" customFormat="false" ht="15.7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</row>
    <row r="206" customFormat="false" ht="15.7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</row>
    <row r="207" customFormat="false" ht="15.7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</row>
    <row r="208" customFormat="false" ht="15.7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</row>
    <row r="209" customFormat="false" ht="15.7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</row>
    <row r="210" customFormat="false" ht="15.7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</row>
    <row r="211" customFormat="false" ht="15.7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</row>
    <row r="212" customFormat="false" ht="15.7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</row>
    <row r="213" customFormat="false" ht="15.7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</row>
    <row r="214" customFormat="false" ht="15.7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</row>
    <row r="215" customFormat="false" ht="15.7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</row>
    <row r="216" customFormat="false" ht="15.7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</row>
    <row r="217" customFormat="false" ht="15.7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</row>
    <row r="218" customFormat="false" ht="15.7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</row>
    <row r="219" customFormat="false" ht="15.7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</row>
    <row r="220" customFormat="false" ht="15.7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</row>
    <row r="221" customFormat="false" ht="15.7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</row>
    <row r="222" customFormat="false" ht="15.7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</row>
    <row r="223" customFormat="false" ht="15.7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</row>
    <row r="224" customFormat="false" ht="15.7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</row>
    <row r="225" customFormat="false" ht="15.7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</row>
    <row r="226" customFormat="false" ht="15.7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</row>
    <row r="227" customFormat="false" ht="15.7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</row>
    <row r="228" customFormat="false" ht="15.7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</row>
    <row r="229" customFormat="false" ht="15.7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</row>
    <row r="230" customFormat="false" ht="15.7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</row>
    <row r="231" customFormat="false" ht="15.7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</row>
    <row r="232" customFormat="false" ht="15.7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</row>
    <row r="233" customFormat="false" ht="15.7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</row>
    <row r="234" customFormat="false" ht="15.7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</row>
    <row r="235" customFormat="false" ht="15.7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</row>
    <row r="236" customFormat="false" ht="15.7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</row>
    <row r="237" customFormat="false" ht="15.7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</row>
    <row r="238" customFormat="false" ht="15.7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</row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33">
    <mergeCell ref="A1:L2"/>
    <mergeCell ref="A3:L3"/>
    <mergeCell ref="A5:C5"/>
    <mergeCell ref="D5:F5"/>
    <mergeCell ref="G5:I5"/>
    <mergeCell ref="J5:L5"/>
    <mergeCell ref="A6:C6"/>
    <mergeCell ref="D6:F6"/>
    <mergeCell ref="G6:I6"/>
    <mergeCell ref="J6:L6"/>
    <mergeCell ref="A7:C7"/>
    <mergeCell ref="D7:F7"/>
    <mergeCell ref="G7:I7"/>
    <mergeCell ref="J7:L7"/>
    <mergeCell ref="A9:C9"/>
    <mergeCell ref="D9:F9"/>
    <mergeCell ref="G9:I9"/>
    <mergeCell ref="J9:L9"/>
    <mergeCell ref="A10:C10"/>
    <mergeCell ref="D10:F10"/>
    <mergeCell ref="G10:I10"/>
    <mergeCell ref="J10:L10"/>
    <mergeCell ref="A11:C11"/>
    <mergeCell ref="D11:F11"/>
    <mergeCell ref="G11:I11"/>
    <mergeCell ref="J11:L11"/>
    <mergeCell ref="A13:L13"/>
    <mergeCell ref="A26:L26"/>
    <mergeCell ref="A33:L33"/>
    <mergeCell ref="A40:H40"/>
    <mergeCell ref="A52:H52"/>
    <mergeCell ref="A54:H54"/>
    <mergeCell ref="A63:H6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2" min="1" style="1" width="14"/>
    <col collapsed="false" customWidth="true" hidden="false" outlineLevel="0" max="26" min="13" style="1" width="8.63"/>
  </cols>
  <sheetData>
    <row r="1" customFormat="false" ht="15" hidden="false" customHeight="true" outlineLevel="0" collapsed="false">
      <c r="A1" s="2" t="s">
        <v>773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3"/>
      <c r="P1" s="3"/>
    </row>
    <row r="2" customFormat="false" ht="1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3"/>
      <c r="O2" s="3"/>
      <c r="P2" s="3"/>
    </row>
    <row r="3" customFormat="false" ht="15" hidden="false" customHeight="true" outlineLevel="0" collapsed="false">
      <c r="A3" s="4" t="s">
        <v>774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3"/>
      <c r="N3" s="3"/>
      <c r="O3" s="3"/>
      <c r="P3" s="3"/>
    </row>
    <row r="4" customFormat="false" ht="15" hidden="false" customHeight="tru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customFormat="false" ht="15" hidden="false" customHeight="true" outlineLevel="0" collapsed="false">
      <c r="A5" s="5" t="s">
        <v>775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3"/>
      <c r="N5" s="3"/>
      <c r="O5" s="3"/>
      <c r="P5" s="3"/>
    </row>
    <row r="6" customFormat="false" ht="23.25" hidden="false" customHeight="true" outlineLevel="0" collapsed="false">
      <c r="A6" s="21" t="s">
        <v>42</v>
      </c>
      <c r="B6" s="21" t="s">
        <v>776</v>
      </c>
      <c r="C6" s="21" t="s">
        <v>777</v>
      </c>
      <c r="D6" s="21" t="s">
        <v>778</v>
      </c>
      <c r="E6" s="21" t="s">
        <v>43</v>
      </c>
      <c r="F6" s="21" t="s">
        <v>779</v>
      </c>
      <c r="G6" s="21" t="s">
        <v>79</v>
      </c>
      <c r="H6" s="21" t="s">
        <v>592</v>
      </c>
      <c r="I6" s="3"/>
      <c r="J6" s="3"/>
      <c r="K6" s="3"/>
      <c r="L6" s="3"/>
      <c r="M6" s="3"/>
      <c r="N6" s="3"/>
      <c r="O6" s="3"/>
      <c r="P6" s="3"/>
    </row>
    <row r="7" customFormat="false" ht="23.25" hidden="false" customHeight="true" outlineLevel="0" collapsed="false">
      <c r="A7" s="7" t="s">
        <v>48</v>
      </c>
      <c r="B7" s="7" t="n">
        <f aca="false">COUNTIFS(11_Data_Conversions!$B:$B,"&gt;="&amp;00_Setup!$C$15-6,11_Data_Conversions!$B:$B,"&lt;="&amp;00_Setup!$C$15)</f>
        <v>35</v>
      </c>
      <c r="C7" s="7" t="n">
        <f aca="false">COUNTIFS(11_Data_Conversions!$B:$B,"&gt;="&amp;00_Setup!$C$15-13,11_Data_Conversions!$B:$B,"&lt;="&amp;00_Setup!$C$15-7)</f>
        <v>31</v>
      </c>
      <c r="D7" s="57" t="n">
        <f aca="false">COUNTIFS(11_Data_Conversions!$B:$B,"&gt;="&amp;00_Setup!$C$15-27,11_Data_Conversions!$B:$B,"&lt;="&amp;00_Setup!$C$15)/4</f>
        <v>32.75</v>
      </c>
      <c r="E7" s="7" t="n">
        <v>35</v>
      </c>
      <c r="F7" s="7" t="n">
        <f aca="false">IF(E7=0,0,B7/E7-1)</f>
        <v>0</v>
      </c>
      <c r="G7" s="7" t="str">
        <f aca="false">IF(B7&gt;=E7,"On Track",IF(B7&gt;=E7*0.8,"Watch","At Risk"))</f>
        <v>On Track</v>
      </c>
      <c r="H7" s="7" t="str">
        <f aca="false">IF(G7="On Track","Maintain or scale",IF(G7="Watch","Investigate cause","Immediate corrective action"))</f>
        <v>Maintain or scale</v>
      </c>
      <c r="I7" s="3"/>
      <c r="J7" s="3"/>
      <c r="K7" s="3"/>
      <c r="L7" s="3"/>
      <c r="M7" s="3"/>
      <c r="N7" s="3"/>
      <c r="O7" s="3"/>
      <c r="P7" s="3"/>
    </row>
    <row r="8" customFormat="false" ht="23.25" hidden="false" customHeight="true" outlineLevel="0" collapsed="false">
      <c r="A8" s="7" t="s">
        <v>742</v>
      </c>
      <c r="B8" s="7" t="n">
        <f aca="false">COUNTIFS(11_Data_Conversions!$B:$B,"&gt;="&amp;00_Setup!$C$15-6,11_Data_Conversions!$B:$B,"&lt;="&amp;00_Setup!$C$15,11_Data_Conversions!$J:$J,"Yes")</f>
        <v>28</v>
      </c>
      <c r="C8" s="7" t="n">
        <f aca="false">COUNTIFS(11_Data_Conversions!$B:$B,"&gt;="&amp;00_Setup!$C$15-13,11_Data_Conversions!$B:$B,"&lt;="&amp;00_Setup!$C$15-7,11_Data_Conversions!$J:$J,"Yes")</f>
        <v>21</v>
      </c>
      <c r="D8" s="57" t="n">
        <f aca="false">COUNTIFS(11_Data_Conversions!$B:$B,"&gt;="&amp;00_Setup!$C$15-27,11_Data_Conversions!$B:$B,"&lt;="&amp;00_Setup!$C$15,11_Data_Conversions!$J:$J,"Yes")/4</f>
        <v>24</v>
      </c>
      <c r="E8" s="7" t="n">
        <v>24</v>
      </c>
      <c r="F8" s="7" t="n">
        <f aca="false">IF(E8=0,0,B8/E8-1)</f>
        <v>0.166666666666667</v>
      </c>
      <c r="G8" s="7" t="str">
        <f aca="false">IF(B8&gt;=E8,"On Track",IF(B8&gt;=E8*0.8,"Watch","At Risk"))</f>
        <v>On Track</v>
      </c>
      <c r="H8" s="7" t="str">
        <f aca="false">IF(G8="On Track","Maintain or scale",IF(G8="Watch","Investigate cause","Immediate corrective action"))</f>
        <v>Maintain or scale</v>
      </c>
      <c r="I8" s="3"/>
      <c r="J8" s="3"/>
      <c r="K8" s="3"/>
      <c r="L8" s="3"/>
      <c r="M8" s="3"/>
      <c r="N8" s="3"/>
      <c r="O8" s="3"/>
      <c r="P8" s="3"/>
    </row>
    <row r="9" customFormat="false" ht="34.5" hidden="false" customHeight="true" outlineLevel="0" collapsed="false">
      <c r="A9" s="7" t="s">
        <v>52</v>
      </c>
      <c r="B9" s="7" t="n">
        <f aca="false">SUMIFS(09_Data_GA4!$I:$I,09_Data_GA4!$A:$A,"&gt;="&amp;00_Setup!$C$15-6,09_Data_GA4!$A:$A,"&lt;="&amp;00_Setup!$C$15)</f>
        <v>2058</v>
      </c>
      <c r="C9" s="7" t="n">
        <f aca="false">SUMIFS(09_Data_GA4!$I:$I,09_Data_GA4!$A:$A,"&gt;="&amp;00_Setup!$C$15-13,09_Data_GA4!$A:$A,"&lt;="&amp;00_Setup!$C$15-7)</f>
        <v>2040</v>
      </c>
      <c r="D9" s="57" t="n">
        <f aca="false">SUMIFS(09_Data_GA4!$I:$I,09_Data_GA4!$A:$A,"&gt;="&amp;00_Setup!$C$15-27,09_Data_GA4!$A:$A,"&lt;="&amp;00_Setup!$C$15)/4</f>
        <v>2038.25</v>
      </c>
      <c r="E9" s="7" t="n">
        <v>4200</v>
      </c>
      <c r="F9" s="7" t="n">
        <f aca="false">IF(E9=0,0,B9/E9-1)</f>
        <v>-0.51</v>
      </c>
      <c r="G9" s="7" t="str">
        <f aca="false">IF(B9&gt;=E9,"On Track",IF(B9&gt;=E9*0.8,"Watch","At Risk"))</f>
        <v>At Risk</v>
      </c>
      <c r="H9" s="7" t="str">
        <f aca="false">IF(G9="On Track","Maintain or scale",IF(G9="Watch","Investigate cause","Immediate corrective action"))</f>
        <v>Immediate corrective action</v>
      </c>
      <c r="I9" s="3"/>
      <c r="J9" s="3"/>
      <c r="K9" s="3"/>
      <c r="L9" s="3"/>
      <c r="M9" s="3"/>
      <c r="N9" s="3"/>
      <c r="O9" s="3"/>
      <c r="P9" s="3"/>
    </row>
    <row r="10" customFormat="false" ht="34.5" hidden="false" customHeight="true" outlineLevel="0" collapsed="false">
      <c r="A10" s="7" t="s">
        <v>53</v>
      </c>
      <c r="B10" s="7" t="n">
        <f aca="false">SUMIFS(10_Data_GSC!$F:$F,10_Data_GSC!$A:$A,"&gt;="&amp;00_Setup!$C$15-6,10_Data_GSC!$A:$A,"&lt;="&amp;00_Setup!$C$15)</f>
        <v>1673</v>
      </c>
      <c r="C10" s="7" t="n">
        <f aca="false">SUMIFS(10_Data_GSC!$F:$F,10_Data_GSC!$A:$A,"&gt;="&amp;00_Setup!$C$15-13,10_Data_GSC!$A:$A,"&lt;="&amp;00_Setup!$C$15-7)</f>
        <v>1633</v>
      </c>
      <c r="D10" s="57" t="n">
        <f aca="false">SUMIFS(10_Data_GSC!$F:$F,10_Data_GSC!$A:$A,"&gt;="&amp;00_Setup!$C$15-27,10_Data_GSC!$A:$A,"&lt;="&amp;00_Setup!$C$15)/4</f>
        <v>1633.75</v>
      </c>
      <c r="E10" s="7" t="n">
        <v>2300</v>
      </c>
      <c r="F10" s="7" t="n">
        <f aca="false">IF(E10=0,0,B10/E10-1)</f>
        <v>-0.272608695652174</v>
      </c>
      <c r="G10" s="7" t="str">
        <f aca="false">IF(B10&gt;=E10,"On Track",IF(B10&gt;=E10*0.8,"Watch","At Risk"))</f>
        <v>At Risk</v>
      </c>
      <c r="H10" s="7" t="str">
        <f aca="false">IF(G10="On Track","Maintain or scale",IF(G10="Watch","Investigate cause","Immediate corrective action"))</f>
        <v>Immediate corrective action</v>
      </c>
      <c r="I10" s="3"/>
      <c r="J10" s="3"/>
      <c r="K10" s="3"/>
      <c r="L10" s="3"/>
      <c r="M10" s="3"/>
      <c r="N10" s="3"/>
      <c r="O10" s="3"/>
      <c r="P10" s="3"/>
    </row>
    <row r="11" customFormat="false" ht="34.5" hidden="false" customHeight="true" outlineLevel="0" collapsed="false">
      <c r="A11" s="7" t="s">
        <v>54</v>
      </c>
      <c r="B11" s="27" t="n">
        <f aca="false">IF(B9=0,0,B7/B9)</f>
        <v>0.0170068027210884</v>
      </c>
      <c r="C11" s="27" t="n">
        <f aca="false">IF(C9=0,0,C7/C9)</f>
        <v>0.0151960784313725</v>
      </c>
      <c r="D11" s="29" t="n">
        <f aca="false">IF(D9=0,0,D7/D9)</f>
        <v>0.0160677051392126</v>
      </c>
      <c r="E11" s="27" t="n">
        <v>0.008</v>
      </c>
      <c r="F11" s="27" t="n">
        <f aca="false">IF(E11=0,0,B11/E11-1)</f>
        <v>1.12585034013605</v>
      </c>
      <c r="G11" s="7" t="str">
        <f aca="false">IF(B11&gt;=E11,"On Track",IF(B11&gt;=E11*0.8,"Watch","At Risk"))</f>
        <v>On Track</v>
      </c>
      <c r="H11" s="7" t="str">
        <f aca="false">IF(G11="On Track","Maintain or scale",IF(G11="Watch","Investigate cause","Immediate corrective action"))</f>
        <v>Maintain or scale</v>
      </c>
      <c r="I11" s="3"/>
      <c r="J11" s="3"/>
      <c r="K11" s="3"/>
      <c r="L11" s="3"/>
      <c r="M11" s="3"/>
      <c r="N11" s="3"/>
      <c r="O11" s="3"/>
      <c r="P11" s="3"/>
    </row>
    <row r="12" customFormat="false" ht="34.5" hidden="false" customHeight="true" outlineLevel="0" collapsed="false">
      <c r="A12" s="7" t="s">
        <v>58</v>
      </c>
      <c r="B12" s="27" t="n">
        <f aca="false">SUMIFS(10_Data_GSC!$F:$F,10_Data_GSC!$A:$A,"&gt;="&amp;00_Setup!$C$15-6,10_Data_GSC!$A:$A,"&lt;="&amp;00_Setup!$C$15,10_Data_GSC!$J:$J,"Non-brand")/B10</f>
        <v>0.271368798565451</v>
      </c>
      <c r="C12" s="27" t="n">
        <f aca="false">SUMIFS(10_Data_GSC!$F:$F,10_Data_GSC!$A:$A,"&gt;="&amp;00_Setup!$C$15-13,10_Data_GSC!$A:$A,"&lt;="&amp;00_Setup!$C$15-7,10_Data_GSC!$J:$J,"Non-brand")/C10</f>
        <v>0.278015921616656</v>
      </c>
      <c r="D12" s="29" t="n">
        <f aca="false">IF(D10=0,0,SUMIFS(10_Data_GSC!$F:$F,10_Data_GSC!$A:$A,"&gt;="&amp;00_Setup!$C$15-27,10_Data_GSC!$A:$A,"&lt;="&amp;00_Setup!$C$15,10_Data_GSC!$J:$J,"Non-brand")/4/D10)</f>
        <v>0.277582249426167</v>
      </c>
      <c r="E12" s="27" t="n">
        <v>0.65</v>
      </c>
      <c r="F12" s="27" t="n">
        <f aca="false">IF(E12=0,0,B12/E12-1)</f>
        <v>-0.582509540668537</v>
      </c>
      <c r="G12" s="7" t="str">
        <f aca="false">IF(B12&gt;=E12,"On Track",IF(B12&gt;=E12*0.8,"Watch","At Risk"))</f>
        <v>At Risk</v>
      </c>
      <c r="H12" s="7" t="str">
        <f aca="false">IF(G12="On Track","Maintain or scale",IF(G12="Watch","Investigate cause","Immediate corrective action"))</f>
        <v>Immediate corrective action</v>
      </c>
      <c r="I12" s="3"/>
      <c r="J12" s="3"/>
      <c r="K12" s="3"/>
      <c r="L12" s="3"/>
      <c r="M12" s="3"/>
      <c r="N12" s="3"/>
      <c r="O12" s="3"/>
      <c r="P12" s="3"/>
    </row>
    <row r="13" customFormat="false" ht="23.25" hidden="false" customHeight="true" outlineLevel="0" collapsed="false">
      <c r="A13" s="7" t="s">
        <v>73</v>
      </c>
      <c r="B13" s="27" t="n">
        <f aca="false">08_AI_Input!B23</f>
        <v>0.0118421052631579</v>
      </c>
      <c r="C13" s="27" t="str">
        <f aca="false">08_AI_Input!C23</f>
        <v/>
      </c>
      <c r="D13" s="29" t="n">
        <f aca="false">B13</f>
        <v>0.0118421052631579</v>
      </c>
      <c r="E13" s="27" t="n">
        <v>0.02</v>
      </c>
      <c r="F13" s="27" t="n">
        <f aca="false">IF(E13=0,0,B13/E13-1)</f>
        <v>-0.407894736842105</v>
      </c>
      <c r="G13" s="7" t="str">
        <f aca="false">IF(B13&lt;=E13,"On Track",IF(B13&lt;=E13*1.2,"Watch","At Risk"))</f>
        <v>On Track</v>
      </c>
      <c r="H13" s="58" t="str">
        <f aca="false">IF(G13="On Track","Maintain or scale",IF(G13="Watch","Investigate cause","Immediate corrective action"))&amp;" (4-wk avg = current: only one dated technical snapshot exists — add weekly crawls to populate a real trend)"</f>
        <v>Maintain or scale (4-wk avg = current: only one dated technical snapshot exists — add weekly crawls to populate a real trend)</v>
      </c>
      <c r="I13" s="3"/>
      <c r="J13" s="3"/>
      <c r="K13" s="3"/>
      <c r="L13" s="3"/>
      <c r="M13" s="3"/>
      <c r="N13" s="3"/>
      <c r="O13" s="3"/>
      <c r="P13" s="3"/>
    </row>
    <row r="14" customFormat="false" ht="15" hidden="false" customHeight="tru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customFormat="false" ht="15" hidden="false" customHeight="true" outlineLevel="0" collapsed="false">
      <c r="A15" s="5" t="s">
        <v>780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3"/>
      <c r="N15" s="3"/>
      <c r="O15" s="3"/>
      <c r="P15" s="3"/>
    </row>
    <row r="16" customFormat="false" ht="27.75" hidden="false" customHeight="true" outlineLevel="0" collapsed="false">
      <c r="A16" s="39" t="s">
        <v>781</v>
      </c>
      <c r="B16" s="39"/>
      <c r="C16" s="39"/>
      <c r="D16" s="39"/>
      <c r="E16" s="39"/>
      <c r="F16" s="39"/>
      <c r="G16" s="39"/>
      <c r="H16" s="39"/>
      <c r="I16" s="3"/>
      <c r="J16" s="59" t="s">
        <v>782</v>
      </c>
      <c r="K16" s="3"/>
      <c r="L16" s="3"/>
      <c r="M16" s="3"/>
      <c r="N16" s="3"/>
      <c r="O16" s="3"/>
      <c r="P16" s="3"/>
    </row>
    <row r="17" customFormat="false" ht="34.5" hidden="false" customHeight="true" outlineLevel="0" collapsed="false">
      <c r="A17" s="60" t="str">
        <f aca="false">"Winner"</f>
        <v>Winner</v>
      </c>
      <c r="B17" s="60" t="str">
        <f aca="false">INDEX($I$30:$I$33,MATCH(MAX($J$30:$J$33),$J$30:$J$33,0))</f>
        <v>/service-a/</v>
      </c>
      <c r="C17" s="60" t="str">
        <f aca="false">"Highest week-over-week session growth among tracked pages"</f>
        <v>Highest week-over-week session growth among tracked pages</v>
      </c>
      <c r="D17" s="60" t="str">
        <f aca="false">"Sessions "&amp;TEXT(MAX($J$30:$J$33),"+0.0%;-0.0%")&amp;" MoM"</f>
        <v>Sessions +9.0% MoM</v>
      </c>
      <c r="E17" s="60" t="str">
        <f aca="false">"High"</f>
        <v>High</v>
      </c>
      <c r="F17" s="60" t="str">
        <f aca="false">"High"</f>
        <v>High</v>
      </c>
      <c r="G17" s="60" t="str">
        <f aca="false">"SEO"</f>
        <v>SEO</v>
      </c>
      <c r="H17" s="60" t="str">
        <f aca="false">"Scale supporting content and internal links"</f>
        <v>Scale supporting content and internal links</v>
      </c>
      <c r="I17" s="3"/>
      <c r="J17" s="3"/>
      <c r="K17" s="3"/>
      <c r="L17" s="3"/>
      <c r="M17" s="3"/>
      <c r="N17" s="3"/>
      <c r="O17" s="3"/>
      <c r="P17" s="3"/>
    </row>
    <row r="18" customFormat="false" ht="34.5" hidden="false" customHeight="true" outlineLevel="0" collapsed="false">
      <c r="A18" s="60" t="str">
        <f aca="false">"Watch"</f>
        <v>Watch</v>
      </c>
      <c r="B18" s="60" t="str">
        <f aca="false">"Non-brand queries"</f>
        <v>Non-brand queries</v>
      </c>
      <c r="C18" s="60" t="str">
        <f aca="false">"Non-brand click share: "&amp;TEXT(08_AI_Input!B20,"0.0%")&amp;" vs "&amp;TEXT(00_Setup!$C$54,"0%")&amp;" 90-day target"</f>
        <v>Non-brand click share: 27.7% vs 34% 90-day target</v>
      </c>
      <c r="D18" s="60" t="str">
        <f aca="false">TEXT(08_AI_Input!E20,"+0.0%;-0.0%")&amp;" MoM  |  absolute non-brand clicks "&amp;TEXT(08_AI_Input!E27,"+0.0%;-0.0%")&amp;" MoM"</f>
        <v>-24.8% MoM  |  absolute non-brand clicks +6.6% MoM</v>
      </c>
      <c r="E18" s="60" t="str">
        <f aca="false">"High"</f>
        <v>High</v>
      </c>
      <c r="F18" s="60" t="str">
        <f aca="false">"High"</f>
        <v>High</v>
      </c>
      <c r="G18" s="60" t="str">
        <f aca="false">"SEO"</f>
        <v>SEO</v>
      </c>
      <c r="H18" s="60" t="str">
        <f aca="false">"Expand commercial-intent coverage — see Query Opportunity Model"</f>
        <v>Expand commercial-intent coverage — see Query Opportunity Model</v>
      </c>
      <c r="I18" s="3"/>
      <c r="J18" s="3"/>
      <c r="K18" s="3"/>
      <c r="L18" s="3"/>
      <c r="M18" s="3"/>
      <c r="N18" s="3"/>
      <c r="O18" s="3"/>
      <c r="P18" s="3"/>
    </row>
    <row r="19" customFormat="false" ht="23.25" hidden="false" customHeight="true" outlineLevel="0" collapsed="false">
      <c r="A19" s="60" t="str">
        <f aca="false">"Watch"</f>
        <v>Watch</v>
      </c>
      <c r="B19" s="60" t="str">
        <f aca="false">INDEX($I$30:$I$33,MATCH(MIN($J$30:$J$33),$J$30:$J$33,0))</f>
        <v>/blog/topic-b/</v>
      </c>
      <c r="C19" s="60" t="str">
        <f aca="false">IF(MIN($J$30:$J$33)&lt;0,"Session decline","Slowest growth among tracked pages")</f>
        <v>Slowest growth among tracked pages</v>
      </c>
      <c r="D19" s="60" t="str">
        <f aca="false">"Sessions "&amp;TEXT(MIN($J$30:$J$33),"+0.0%;-0.0%")&amp;" MoM. Check Rank Trend on 05_Content_Analysis before assuming decay."</f>
        <v>Sessions +6.3% MoM. Check Rank Trend on 05_Content_Analysis before assuming decay.</v>
      </c>
      <c r="E19" s="60" t="str">
        <f aca="false">"Medium"</f>
        <v>Medium</v>
      </c>
      <c r="F19" s="60" t="str">
        <f aca="false">"High"</f>
        <v>High</v>
      </c>
      <c r="G19" s="60" t="str">
        <f aca="false">"Content"</f>
        <v>Content</v>
      </c>
      <c r="H19" s="60" t="str">
        <f aca="false">"Review Rank Trend signal; refresh only if position is also slipping"</f>
        <v>Review Rank Trend signal; refresh only if position is also slipping</v>
      </c>
      <c r="I19" s="3"/>
      <c r="J19" s="3"/>
      <c r="K19" s="3"/>
      <c r="L19" s="3"/>
      <c r="M19" s="3"/>
      <c r="N19" s="3"/>
      <c r="O19" s="3"/>
      <c r="P19" s="3"/>
    </row>
    <row r="20" customFormat="false" ht="34.5" hidden="false" customHeight="true" outlineLevel="0" collapsed="false">
      <c r="A20" s="60" t="str">
        <f aca="false">"Issue"</f>
        <v>Issue</v>
      </c>
      <c r="B20" s="60" t="str">
        <f aca="false">IFERROR(INDEX(13_Data_Technical_Content!$C:$C,MATCH(1,(13_Data_Technical_Content!$B:$B="Issue")*(13_Data_Technical_Content!$F:$F="High"),0)),"None open")</f>
        <v>/service-a/</v>
      </c>
      <c r="C20" s="60" t="str">
        <f aca="false">IFERROR(INDEX(13_Data_Technical_Content!$E:$E,MATCH(1,(13_Data_Technical_Content!$B:$B="Issue")*(13_Data_Technical_Content!$F:$F="High"),0)),"")</f>
        <v>Mobile LCP &gt;2.5s</v>
      </c>
      <c r="D20" s="60" t="str">
        <f aca="false">IFERROR(INDEX(13_Data_Technical_Content!$D:$D,MATCH(1,(13_Data_Technical_Content!$B:$B="Issue")*(13_Data_Technical_Content!$F:$F="High"),0)),"")</f>
        <v>Service / Course</v>
      </c>
      <c r="E20" s="60" t="str">
        <f aca="false">"High"</f>
        <v>High</v>
      </c>
      <c r="F20" s="60" t="str">
        <f aca="false">IFERROR(INDEX(13_Data_Technical_Content!$I:$I,MATCH(1,(13_Data_Technical_Content!$B:$B="Issue")*(13_Data_Technical_Content!$F:$F="High"),0)),"")</f>
        <v>Development</v>
      </c>
      <c r="G20" s="61" t="n">
        <f aca="false">IFERROR(INDEX(13_Data_Technical_Content!$K:$K,MATCH(1,(13_Data_Technical_Content!$B:$B="Issue")*(13_Data_Technical_Content!$F:$F="High"),0)),"")</f>
        <v>46213</v>
      </c>
      <c r="H20" s="60" t="str">
        <f aca="false">"See 07_Action_Register for remediation plan"</f>
        <v>See 07_Action_Register for remediation plan</v>
      </c>
      <c r="I20" s="3"/>
      <c r="J20" s="3"/>
      <c r="K20" s="3"/>
      <c r="L20" s="3"/>
      <c r="M20" s="3"/>
      <c r="N20" s="3"/>
      <c r="O20" s="3"/>
      <c r="P20" s="3"/>
    </row>
    <row r="21" customFormat="false" ht="31.5" hidden="false" customHeight="true" outlineLevel="0" collapsed="false">
      <c r="A21" s="39" t="s">
        <v>783</v>
      </c>
      <c r="B21" s="39"/>
      <c r="C21" s="39"/>
      <c r="D21" s="39"/>
      <c r="E21" s="39"/>
      <c r="F21" s="39"/>
      <c r="G21" s="39"/>
      <c r="H21" s="39"/>
      <c r="I21" s="3"/>
      <c r="J21" s="3"/>
      <c r="K21" s="3"/>
      <c r="L21" s="3"/>
      <c r="M21" s="3"/>
      <c r="N21" s="3"/>
      <c r="O21" s="3"/>
      <c r="P21" s="3"/>
    </row>
    <row r="22" customFormat="false" ht="15.75" hidden="false" customHeight="true" outlineLevel="0" collapsed="false">
      <c r="A22" s="5" t="s">
        <v>784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3"/>
      <c r="N22" s="3"/>
      <c r="O22" s="3"/>
      <c r="P22" s="3"/>
    </row>
    <row r="23" customFormat="false" ht="15.75" hidden="false" customHeight="true" outlineLevel="0" collapsed="false">
      <c r="A23" s="6" t="s">
        <v>785</v>
      </c>
      <c r="B23" s="6" t="s">
        <v>102</v>
      </c>
      <c r="C23" s="6" t="s">
        <v>786</v>
      </c>
      <c r="D23" s="6" t="s">
        <v>787</v>
      </c>
      <c r="E23" s="6" t="s">
        <v>81</v>
      </c>
      <c r="F23" s="6" t="s">
        <v>753</v>
      </c>
      <c r="G23" s="6" t="s">
        <v>79</v>
      </c>
      <c r="H23" s="3"/>
      <c r="I23" s="3"/>
      <c r="J23" s="3"/>
      <c r="K23" s="3"/>
      <c r="L23" s="3"/>
      <c r="M23" s="3"/>
      <c r="N23" s="3"/>
      <c r="O23" s="3"/>
      <c r="P23" s="3"/>
    </row>
    <row r="24" customFormat="false" ht="15.75" hidden="false" customHeight="true" outlineLevel="0" collapsed="false">
      <c r="A24" s="7" t="s">
        <v>788</v>
      </c>
      <c r="B24" s="7" t="s">
        <v>789</v>
      </c>
      <c r="C24" s="7" t="s">
        <v>790</v>
      </c>
      <c r="D24" s="7" t="s">
        <v>791</v>
      </c>
      <c r="E24" s="7" t="s">
        <v>86</v>
      </c>
      <c r="F24" s="8" t="n">
        <v>46201</v>
      </c>
      <c r="G24" s="7" t="s">
        <v>99</v>
      </c>
      <c r="H24" s="3"/>
      <c r="I24" s="3"/>
      <c r="J24" s="3"/>
      <c r="K24" s="3"/>
      <c r="L24" s="3"/>
      <c r="M24" s="3"/>
      <c r="N24" s="3"/>
      <c r="O24" s="3"/>
      <c r="P24" s="3"/>
    </row>
    <row r="25" customFormat="false" ht="15.75" hidden="false" customHeight="true" outlineLevel="0" collapsed="false">
      <c r="A25" s="7" t="s">
        <v>792</v>
      </c>
      <c r="B25" s="7" t="s">
        <v>91</v>
      </c>
      <c r="C25" s="7" t="s">
        <v>793</v>
      </c>
      <c r="D25" s="7" t="s">
        <v>794</v>
      </c>
      <c r="E25" s="7" t="s">
        <v>91</v>
      </c>
      <c r="F25" s="8" t="n">
        <v>46202</v>
      </c>
      <c r="G25" s="7" t="s">
        <v>99</v>
      </c>
      <c r="H25" s="3"/>
      <c r="I25" s="3"/>
      <c r="J25" s="3"/>
      <c r="K25" s="3"/>
      <c r="L25" s="3"/>
      <c r="M25" s="3"/>
      <c r="N25" s="3"/>
      <c r="O25" s="3"/>
      <c r="P25" s="3"/>
    </row>
    <row r="26" customFormat="false" ht="15.75" hidden="false" customHeight="true" outlineLevel="0" collapsed="false">
      <c r="A26" s="7" t="s">
        <v>595</v>
      </c>
      <c r="B26" s="7" t="s">
        <v>569</v>
      </c>
      <c r="C26" s="7" t="s">
        <v>596</v>
      </c>
      <c r="D26" s="7" t="s">
        <v>795</v>
      </c>
      <c r="E26" s="7" t="s">
        <v>96</v>
      </c>
      <c r="F26" s="8" t="n">
        <v>46215</v>
      </c>
      <c r="G26" s="7" t="s">
        <v>104</v>
      </c>
      <c r="H26" s="3"/>
      <c r="I26" s="3"/>
      <c r="J26" s="3"/>
      <c r="K26" s="3"/>
      <c r="L26" s="3"/>
      <c r="M26" s="3"/>
      <c r="N26" s="3"/>
      <c r="O26" s="3"/>
      <c r="P26" s="3"/>
    </row>
    <row r="27" customFormat="false" ht="15.75" hidden="false" customHeight="true" outlineLevel="0" collapsed="false">
      <c r="A27" s="7" t="s">
        <v>796</v>
      </c>
      <c r="B27" s="7" t="s">
        <v>91</v>
      </c>
      <c r="C27" s="7" t="s">
        <v>793</v>
      </c>
      <c r="D27" s="7" t="s">
        <v>797</v>
      </c>
      <c r="E27" s="7" t="s">
        <v>91</v>
      </c>
      <c r="F27" s="8" t="n">
        <v>46218</v>
      </c>
      <c r="G27" s="7" t="s">
        <v>108</v>
      </c>
      <c r="H27" s="3"/>
      <c r="I27" s="3"/>
      <c r="J27" s="3"/>
      <c r="K27" s="3"/>
      <c r="L27" s="3"/>
      <c r="M27" s="3"/>
      <c r="N27" s="3"/>
      <c r="O27" s="3"/>
      <c r="P27" s="3"/>
    </row>
    <row r="28" customFormat="false" ht="15.75" hidden="false" customHeight="tru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customFormat="false" ht="15.75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customFormat="false" ht="15.7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62" t="s">
        <v>157</v>
      </c>
      <c r="J30" s="63" t="n">
        <f aca="false">IFERROR(SUMIFS(09_Data_GA4!$I:$I,09_Data_GA4!$A:$A,"&gt;="&amp;00_Setup!$C$14,09_Data_GA4!$A:$A,"&lt;="&amp;00_Setup!$C$15,09_Data_GA4!$B:$B,I30)/SUMIFS(09_Data_GA4!$I:$I,09_Data_GA4!$A:$A,"&gt;="&amp;00_Setup!$C$16,09_Data_GA4!$A:$A,"&lt;="&amp;00_Setup!$C$17,09_Data_GA4!$B:$B,I30)-1,"")</f>
        <v>0.0896252036936447</v>
      </c>
      <c r="K30" s="3"/>
      <c r="L30" s="3"/>
      <c r="M30" s="3"/>
      <c r="N30" s="3"/>
      <c r="O30" s="3"/>
      <c r="P30" s="3"/>
    </row>
    <row r="31" customFormat="false" ht="15.7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62" t="s">
        <v>161</v>
      </c>
      <c r="J31" s="63" t="n">
        <f aca="false">IFERROR(SUMIFS(09_Data_GA4!$I:$I,09_Data_GA4!$A:$A,"&gt;="&amp;00_Setup!$C$14,09_Data_GA4!$A:$A,"&lt;="&amp;00_Setup!$C$15,09_Data_GA4!$B:$B,I31)/SUMIFS(09_Data_GA4!$I:$I,09_Data_GA4!$A:$A,"&gt;="&amp;00_Setup!$C$16,09_Data_GA4!$A:$A,"&lt;="&amp;00_Setup!$C$17,09_Data_GA4!$B:$B,I31)-1,"")</f>
        <v>0.0824115044247789</v>
      </c>
      <c r="K31" s="3"/>
      <c r="L31" s="3"/>
      <c r="M31" s="3"/>
      <c r="N31" s="3"/>
      <c r="O31" s="3"/>
      <c r="P31" s="3"/>
    </row>
    <row r="32" customFormat="false" ht="15.75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62" t="s">
        <v>162</v>
      </c>
      <c r="J32" s="63" t="n">
        <f aca="false">IFERROR(SUMIFS(09_Data_GA4!$I:$I,09_Data_GA4!$A:$A,"&gt;="&amp;00_Setup!$C$14,09_Data_GA4!$A:$A,"&lt;="&amp;00_Setup!$C$15,09_Data_GA4!$B:$B,I32)/SUMIFS(09_Data_GA4!$I:$I,09_Data_GA4!$A:$A,"&gt;="&amp;00_Setup!$C$16,09_Data_GA4!$A:$A,"&lt;="&amp;00_Setup!$C$17,09_Data_GA4!$B:$B,I32)-1,"")</f>
        <v>0.0715850986121256</v>
      </c>
      <c r="K32" s="3"/>
      <c r="L32" s="3"/>
      <c r="M32" s="3"/>
      <c r="N32" s="3"/>
      <c r="O32" s="3"/>
      <c r="P32" s="3"/>
    </row>
    <row r="33" customFormat="false" ht="15.7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62" t="s">
        <v>163</v>
      </c>
      <c r="J33" s="63" t="n">
        <f aca="false">IFERROR(SUMIFS(09_Data_GA4!$I:$I,09_Data_GA4!$A:$A,"&gt;="&amp;00_Setup!$C$14,09_Data_GA4!$A:$A,"&lt;="&amp;00_Setup!$C$15,09_Data_GA4!$B:$B,I33)/SUMIFS(09_Data_GA4!$I:$I,09_Data_GA4!$A:$A,"&gt;="&amp;00_Setup!$C$16,09_Data_GA4!$A:$A,"&lt;="&amp;00_Setup!$C$17,09_Data_GA4!$B:$B,I33)-1,"")</f>
        <v>0.0628158844765343</v>
      </c>
      <c r="K33" s="3"/>
      <c r="L33" s="3"/>
      <c r="M33" s="3"/>
      <c r="N33" s="3"/>
      <c r="O33" s="3"/>
      <c r="P33" s="3"/>
    </row>
    <row r="34" customFormat="false" ht="15.75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customFormat="false" ht="15.7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customFormat="false" ht="15.7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customFormat="false" ht="15.7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customFormat="false" ht="15.7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customFormat="false" ht="15.7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customFormat="false" ht="15.7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customFormat="false" ht="15.7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customFormat="false" ht="15.7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customFormat="false" ht="15.7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customFormat="false" ht="15.7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customFormat="false" ht="15.7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customFormat="false" ht="15.7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customFormat="false" ht="15.7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customFormat="false" ht="15.7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customFormat="false" ht="15.7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 customFormat="false" ht="15.7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customFormat="false" ht="15.7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customFormat="false" ht="15.7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customFormat="false" ht="15.7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customFormat="false" ht="15.7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customFormat="false" ht="15.7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customFormat="false" ht="15.7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customFormat="false" ht="15.7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customFormat="false" ht="15.7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customFormat="false" ht="15.7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customFormat="false" ht="15.7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 customFormat="false" ht="15.7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customFormat="false" ht="15.7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 customFormat="false" ht="15.7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 customFormat="false" ht="15.7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</row>
    <row r="65" customFormat="false" ht="15.7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customFormat="false" ht="15.7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 customFormat="false" ht="15.7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customFormat="false" ht="15.7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</row>
    <row r="69" customFormat="false" ht="15.7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customFormat="false" ht="15.7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customFormat="false" ht="15.7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customFormat="false" ht="15.7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customFormat="false" ht="15.7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</row>
    <row r="74" customFormat="false" ht="15.7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 customFormat="false" ht="15.7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</row>
    <row r="76" customFormat="false" ht="15.7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</row>
    <row r="77" customFormat="false" ht="15.7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</row>
    <row r="78" customFormat="false" ht="15.7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customFormat="false" ht="15.7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</row>
    <row r="80" customFormat="false" ht="15.7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</row>
    <row r="81" customFormat="false" ht="15.7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customFormat="false" ht="15.7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customFormat="false" ht="15.7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</row>
    <row r="84" customFormat="false" ht="15.7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</row>
    <row r="85" customFormat="false" ht="15.7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customFormat="false" ht="15.7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</row>
    <row r="87" customFormat="false" ht="15.7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</row>
    <row r="88" customFormat="false" ht="15.7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</row>
    <row r="89" customFormat="false" ht="15.7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</row>
    <row r="90" customFormat="false" ht="15.7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customFormat="false" ht="15.7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</row>
    <row r="92" customFormat="false" ht="15.7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customFormat="false" ht="15.7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</row>
    <row r="94" customFormat="false" ht="15.7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</row>
    <row r="95" customFormat="false" ht="15.7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customFormat="false" ht="15.7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</row>
    <row r="97" customFormat="false" ht="15.7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</row>
    <row r="98" customFormat="false" ht="15.7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</row>
    <row r="99" customFormat="false" ht="15.7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</row>
    <row r="100" customFormat="false" ht="15.7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</row>
    <row r="101" customFormat="false" ht="15.7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</row>
    <row r="102" customFormat="false" ht="15.7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</row>
    <row r="103" customFormat="false" ht="15.7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</row>
    <row r="104" customFormat="false" ht="15.7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customFormat="false" ht="15.7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</row>
    <row r="106" customFormat="false" ht="15.7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</row>
    <row r="107" customFormat="false" ht="15.7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</row>
    <row r="108" customFormat="false" ht="15.7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</row>
    <row r="109" customFormat="false" ht="15.7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</row>
    <row r="110" customFormat="false" ht="15.7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</row>
    <row r="111" customFormat="false" ht="15.7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</row>
    <row r="112" customFormat="false" ht="15.7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</row>
    <row r="113" customFormat="false" ht="15.7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</row>
    <row r="114" customFormat="false" ht="15.7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</row>
    <row r="115" customFormat="false" ht="15.7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</row>
    <row r="116" customFormat="false" ht="15.7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</row>
    <row r="117" customFormat="false" ht="15.7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</row>
    <row r="118" customFormat="false" ht="15.7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</row>
    <row r="119" customFormat="false" ht="15.7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</row>
    <row r="120" customFormat="false" ht="15.7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</row>
    <row r="121" customFormat="false" ht="15.7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</row>
    <row r="122" customFormat="false" ht="15.7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</row>
    <row r="123" customFormat="false" ht="15.7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</row>
    <row r="124" customFormat="false" ht="15.7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</row>
    <row r="125" customFormat="false" ht="15.7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</row>
    <row r="126" customFormat="false" ht="15.7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</row>
    <row r="127" customFormat="false" ht="15.7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</row>
    <row r="128" customFormat="false" ht="15.7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</row>
    <row r="129" customFormat="false" ht="15.7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</row>
    <row r="130" customFormat="false" ht="15.7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</row>
    <row r="131" customFormat="false" ht="15.7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</row>
    <row r="132" customFormat="false" ht="15.7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</row>
    <row r="133" customFormat="false" ht="15.7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</row>
    <row r="134" customFormat="false" ht="15.7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</row>
    <row r="135" customFormat="false" ht="15.7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</row>
    <row r="136" customFormat="false" ht="15.7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</row>
    <row r="137" customFormat="false" ht="15.7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</row>
    <row r="138" customFormat="false" ht="15.7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</row>
    <row r="139" customFormat="false" ht="15.7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</row>
    <row r="140" customFormat="false" ht="15.7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</row>
    <row r="141" customFormat="false" ht="15.7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</row>
    <row r="142" customFormat="false" ht="15.7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</row>
    <row r="143" customFormat="false" ht="15.7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</row>
    <row r="144" customFormat="false" ht="15.7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</row>
    <row r="145" customFormat="false" ht="15.7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</row>
    <row r="146" customFormat="false" ht="15.7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</row>
    <row r="147" customFormat="false" ht="15.7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</row>
    <row r="148" customFormat="false" ht="15.7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</row>
    <row r="149" customFormat="false" ht="15.7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</row>
    <row r="150" customFormat="false" ht="15.7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</row>
    <row r="151" customFormat="false" ht="15.7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</row>
    <row r="152" customFormat="false" ht="15.7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</row>
    <row r="153" customFormat="false" ht="15.7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</row>
    <row r="154" customFormat="false" ht="15.7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</row>
    <row r="155" customFormat="false" ht="15.7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</row>
    <row r="156" customFormat="false" ht="15.7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</row>
    <row r="157" customFormat="false" ht="15.7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</row>
    <row r="158" customFormat="false" ht="15.7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</row>
    <row r="159" customFormat="false" ht="15.7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</row>
    <row r="160" customFormat="false" ht="15.7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</row>
    <row r="161" customFormat="false" ht="15.7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</row>
    <row r="162" customFormat="false" ht="15.7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</row>
    <row r="163" customFormat="false" ht="15.7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</row>
    <row r="164" customFormat="false" ht="15.7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</row>
    <row r="165" customFormat="false" ht="15.7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</row>
    <row r="166" customFormat="false" ht="15.7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</row>
    <row r="167" customFormat="false" ht="15.7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</row>
    <row r="168" customFormat="false" ht="15.7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</row>
    <row r="169" customFormat="false" ht="15.7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</row>
    <row r="170" customFormat="false" ht="15.7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</row>
    <row r="171" customFormat="false" ht="15.7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</row>
    <row r="172" customFormat="false" ht="15.7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</row>
    <row r="173" customFormat="false" ht="15.7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</row>
    <row r="174" customFormat="false" ht="15.7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</row>
    <row r="175" customFormat="false" ht="15.7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</row>
    <row r="176" customFormat="false" ht="15.7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</row>
    <row r="177" customFormat="false" ht="15.7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</row>
    <row r="178" customFormat="false" ht="15.7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</row>
    <row r="179" customFormat="false" ht="15.7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</row>
    <row r="180" customFormat="false" ht="15.7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</row>
    <row r="181" customFormat="false" ht="15.7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</row>
    <row r="182" customFormat="false" ht="15.7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</row>
    <row r="183" customFormat="false" ht="15.7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</row>
    <row r="184" customFormat="false" ht="15.7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</row>
    <row r="185" customFormat="false" ht="15.7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</row>
    <row r="186" customFormat="false" ht="15.7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</row>
    <row r="187" customFormat="false" ht="15.7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</row>
    <row r="188" customFormat="false" ht="15.7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</row>
    <row r="189" customFormat="false" ht="15.7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</row>
    <row r="190" customFormat="false" ht="15.7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</row>
    <row r="191" customFormat="false" ht="15.7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</row>
    <row r="192" customFormat="false" ht="15.7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</row>
    <row r="193" customFormat="false" ht="15.7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</row>
    <row r="194" customFormat="false" ht="15.7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</row>
    <row r="195" customFormat="false" ht="15.7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</row>
    <row r="196" customFormat="false" ht="15.7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</row>
    <row r="197" customFormat="false" ht="15.7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</row>
    <row r="198" customFormat="false" ht="15.7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</row>
    <row r="199" customFormat="false" ht="15.7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</row>
    <row r="200" customFormat="false" ht="15.7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</row>
    <row r="201" customFormat="false" ht="15.7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</row>
    <row r="202" customFormat="false" ht="15.7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</row>
    <row r="203" customFormat="false" ht="15.7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</row>
    <row r="204" customFormat="false" ht="15.7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</row>
    <row r="205" customFormat="false" ht="15.7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</row>
    <row r="206" customFormat="false" ht="15.7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</row>
    <row r="207" customFormat="false" ht="15.7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</row>
    <row r="208" customFormat="false" ht="15.7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</row>
    <row r="209" customFormat="false" ht="15.7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</row>
    <row r="210" customFormat="false" ht="15.7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</row>
    <row r="211" customFormat="false" ht="15.7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</row>
    <row r="212" customFormat="false" ht="15.7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</row>
    <row r="213" customFormat="false" ht="15.7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</row>
    <row r="214" customFormat="false" ht="15.7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</row>
    <row r="215" customFormat="false" ht="15.7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</row>
    <row r="216" customFormat="false" ht="15.7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</row>
    <row r="217" customFormat="false" ht="15.7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</row>
    <row r="218" customFormat="false" ht="15.7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</row>
    <row r="219" customFormat="false" ht="15.7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</row>
    <row r="220" customFormat="false" ht="15.7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</row>
    <row r="221" customFormat="false" ht="15.7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</row>
    <row r="222" customFormat="false" ht="15.7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</row>
    <row r="223" customFormat="false" ht="15.7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</row>
    <row r="224" customFormat="false" ht="15.7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</row>
    <row r="225" customFormat="false" ht="15.7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</row>
    <row r="226" customFormat="false" ht="15.7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</row>
    <row r="227" customFormat="false" ht="15.7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</row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7">
    <mergeCell ref="A1:L2"/>
    <mergeCell ref="A3:L3"/>
    <mergeCell ref="A5:L5"/>
    <mergeCell ref="A15:L15"/>
    <mergeCell ref="A16:H16"/>
    <mergeCell ref="A21:H21"/>
    <mergeCell ref="A22:L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2" min="1" style="1" width="14"/>
    <col collapsed="false" customWidth="true" hidden="false" outlineLevel="0" max="26" min="13" style="1" width="8.63"/>
  </cols>
  <sheetData>
    <row r="1" customFormat="false" ht="15" hidden="false" customHeight="true" outlineLevel="0" collapsed="false">
      <c r="A1" s="2" t="s">
        <v>798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3"/>
      <c r="P1" s="3"/>
    </row>
    <row r="2" customFormat="false" ht="1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3"/>
      <c r="O2" s="3"/>
      <c r="P2" s="3"/>
    </row>
    <row r="3" customFormat="false" ht="15" hidden="false" customHeight="true" outlineLevel="0" collapsed="false">
      <c r="A3" s="4" t="s">
        <v>799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3"/>
      <c r="N3" s="3"/>
      <c r="O3" s="3"/>
      <c r="P3" s="3"/>
    </row>
    <row r="4" customFormat="false" ht="15" hidden="false" customHeight="tru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customFormat="false" ht="15" hidden="false" customHeight="true" outlineLevel="0" collapsed="false">
      <c r="A5" s="5" t="s">
        <v>800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3"/>
      <c r="N5" s="3"/>
      <c r="O5" s="3"/>
      <c r="P5" s="3"/>
    </row>
    <row r="6" customFormat="false" ht="15" hidden="false" customHeight="true" outlineLevel="0" collapsed="false">
      <c r="A6" s="21" t="s">
        <v>42</v>
      </c>
      <c r="B6" s="21" t="s">
        <v>704</v>
      </c>
      <c r="C6" s="21" t="s">
        <v>705</v>
      </c>
      <c r="D6" s="21" t="s">
        <v>706</v>
      </c>
      <c r="E6" s="21" t="s">
        <v>745</v>
      </c>
      <c r="F6" s="21" t="s">
        <v>708</v>
      </c>
      <c r="G6" s="21" t="s">
        <v>709</v>
      </c>
      <c r="H6" s="21" t="s">
        <v>746</v>
      </c>
      <c r="I6" s="21" t="s">
        <v>79</v>
      </c>
      <c r="J6" s="3"/>
      <c r="K6" s="3"/>
      <c r="L6" s="3"/>
      <c r="M6" s="3"/>
      <c r="N6" s="3"/>
      <c r="O6" s="3"/>
      <c r="P6" s="3"/>
    </row>
    <row r="7" customFormat="false" ht="23.25" hidden="false" customHeight="true" outlineLevel="0" collapsed="false">
      <c r="A7" s="7" t="str">
        <f aca="false">08_AI_Input!A14</f>
        <v>Organic Conversions</v>
      </c>
      <c r="B7" s="7" t="n">
        <f aca="false">08_AI_Input!B14</f>
        <v>136</v>
      </c>
      <c r="C7" s="7" t="n">
        <f aca="false">08_AI_Input!C14</f>
        <v>112</v>
      </c>
      <c r="D7" s="7" t="n">
        <f aca="false">08_AI_Input!D14</f>
        <v>82</v>
      </c>
      <c r="E7" s="27" t="n">
        <f aca="false">08_AI_Input!E14</f>
        <v>0.214285714285714</v>
      </c>
      <c r="F7" s="27" t="n">
        <f aca="false">08_AI_Input!F14</f>
        <v>0.658536585365854</v>
      </c>
      <c r="G7" s="27" t="n">
        <f aca="false">08_AI_Input!G14</f>
        <v>150</v>
      </c>
      <c r="H7" s="27" t="n">
        <f aca="false">08_AI_Input!H14</f>
        <v>0.906666666666667</v>
      </c>
      <c r="I7" s="7" t="str">
        <f aca="false">08_AI_Input!I14</f>
        <v>Watch</v>
      </c>
      <c r="J7" s="3"/>
      <c r="K7" s="3"/>
      <c r="L7" s="3"/>
      <c r="M7" s="3"/>
      <c r="N7" s="3"/>
      <c r="O7" s="3"/>
      <c r="P7" s="3"/>
    </row>
    <row r="8" customFormat="false" ht="34.5" hidden="false" customHeight="true" outlineLevel="0" collapsed="false">
      <c r="A8" s="7" t="str">
        <f aca="false">08_AI_Input!A15</f>
        <v>Qualified Organic Conversions</v>
      </c>
      <c r="B8" s="7" t="n">
        <f aca="false">08_AI_Input!B15</f>
        <v>100</v>
      </c>
      <c r="C8" s="7" t="n">
        <f aca="false">08_AI_Input!C15</f>
        <v>81</v>
      </c>
      <c r="D8" s="7" t="n">
        <f aca="false">08_AI_Input!D15</f>
        <v>64</v>
      </c>
      <c r="E8" s="27" t="n">
        <f aca="false">08_AI_Input!E15</f>
        <v>0.234567901234568</v>
      </c>
      <c r="F8" s="27" t="n">
        <f aca="false">08_AI_Input!F15</f>
        <v>0.5625</v>
      </c>
      <c r="G8" s="27" t="n">
        <f aca="false">08_AI_Input!G15</f>
        <v>105</v>
      </c>
      <c r="H8" s="27" t="n">
        <f aca="false">08_AI_Input!H15</f>
        <v>0.952380952380952</v>
      </c>
      <c r="I8" s="7" t="str">
        <f aca="false">08_AI_Input!I15</f>
        <v>Watch</v>
      </c>
      <c r="J8" s="3"/>
      <c r="K8" s="3"/>
      <c r="L8" s="3"/>
      <c r="M8" s="3"/>
      <c r="N8" s="3"/>
      <c r="O8" s="3"/>
      <c r="P8" s="3"/>
    </row>
    <row r="9" customFormat="false" ht="23.25" hidden="false" customHeight="true" outlineLevel="0" collapsed="false">
      <c r="A9" s="7" t="str">
        <f aca="false">08_AI_Input!A16</f>
        <v>Organic Sessions</v>
      </c>
      <c r="B9" s="7" t="n">
        <f aca="false">08_AI_Input!B16</f>
        <v>8748</v>
      </c>
      <c r="C9" s="7" t="n">
        <f aca="false">08_AI_Input!C16</f>
        <v>8103</v>
      </c>
      <c r="D9" s="7" t="n">
        <f aca="false">08_AI_Input!D16</f>
        <v>6751</v>
      </c>
      <c r="E9" s="27" t="n">
        <f aca="false">08_AI_Input!E16</f>
        <v>0.0796001480932989</v>
      </c>
      <c r="F9" s="27" t="n">
        <f aca="false">08_AI_Input!F16</f>
        <v>0.295808028440231</v>
      </c>
      <c r="G9" s="27" t="n">
        <f aca="false">08_AI_Input!G16</f>
        <v>18000</v>
      </c>
      <c r="H9" s="27" t="n">
        <f aca="false">08_AI_Input!H16</f>
        <v>0.486</v>
      </c>
      <c r="I9" s="7" t="str">
        <f aca="false">08_AI_Input!I16</f>
        <v>At Risk</v>
      </c>
      <c r="J9" s="3"/>
      <c r="K9" s="3"/>
      <c r="L9" s="3"/>
      <c r="M9" s="3"/>
      <c r="N9" s="3"/>
      <c r="O9" s="3"/>
      <c r="P9" s="3"/>
    </row>
    <row r="10" customFormat="false" ht="15" hidden="false" customHeight="true" outlineLevel="0" collapsed="false">
      <c r="A10" s="7" t="str">
        <f aca="false">08_AI_Input!A17</f>
        <v>Organic Clicks</v>
      </c>
      <c r="B10" s="7" t="n">
        <f aca="false">08_AI_Input!B17</f>
        <v>7019</v>
      </c>
      <c r="C10" s="7" t="n">
        <f aca="false">08_AI_Input!C17</f>
        <v>4953</v>
      </c>
      <c r="D10" s="7" t="n">
        <f aca="false">08_AI_Input!D17</f>
        <v>2624</v>
      </c>
      <c r="E10" s="27" t="n">
        <f aca="false">08_AI_Input!E17</f>
        <v>0.417120936805976</v>
      </c>
      <c r="F10" s="27" t="n">
        <f aca="false">08_AI_Input!F17</f>
        <v>1.6749237804878</v>
      </c>
      <c r="G10" s="27" t="n">
        <f aca="false">08_AI_Input!G17</f>
        <v>9500</v>
      </c>
      <c r="H10" s="27" t="n">
        <f aca="false">08_AI_Input!H17</f>
        <v>0.738842105263158</v>
      </c>
      <c r="I10" s="7" t="str">
        <f aca="false">08_AI_Input!I17</f>
        <v>At Risk</v>
      </c>
      <c r="J10" s="3"/>
      <c r="K10" s="3"/>
      <c r="L10" s="3"/>
      <c r="M10" s="3"/>
      <c r="N10" s="3"/>
      <c r="O10" s="3"/>
      <c r="P10" s="3"/>
    </row>
    <row r="11" customFormat="false" ht="34.5" hidden="false" customHeight="true" outlineLevel="0" collapsed="false">
      <c r="A11" s="7" t="str">
        <f aca="false">08_AI_Input!A18</f>
        <v>Organic Conversion Rate</v>
      </c>
      <c r="B11" s="27" t="n">
        <f aca="false">08_AI_Input!B18</f>
        <v>0.015546410608139</v>
      </c>
      <c r="C11" s="27" t="n">
        <f aca="false">08_AI_Input!C18</f>
        <v>0.0138220412193015</v>
      </c>
      <c r="D11" s="27" t="n">
        <f aca="false">08_AI_Input!D18</f>
        <v>0.0121463486890831</v>
      </c>
      <c r="E11" s="27" t="n">
        <f aca="false">08_AI_Input!E18</f>
        <v>0.124755046051342</v>
      </c>
      <c r="F11" s="27" t="n">
        <f aca="false">08_AI_Input!F18</f>
        <v>0.279924609945688</v>
      </c>
      <c r="G11" s="27" t="n">
        <f aca="false">08_AI_Input!G18</f>
        <v>0.009</v>
      </c>
      <c r="H11" s="27" t="n">
        <f aca="false">08_AI_Input!H18</f>
        <v>1.72737895645989</v>
      </c>
      <c r="I11" s="7" t="str">
        <f aca="false">08_AI_Input!I18</f>
        <v>On Track</v>
      </c>
      <c r="J11" s="3"/>
      <c r="K11" s="3"/>
      <c r="L11" s="3"/>
      <c r="M11" s="3"/>
      <c r="N11" s="3"/>
      <c r="O11" s="3"/>
      <c r="P11" s="3"/>
    </row>
    <row r="12" customFormat="false" ht="34.5" hidden="false" customHeight="true" outlineLevel="0" collapsed="false">
      <c r="A12" s="7" t="str">
        <f aca="false">08_AI_Input!A19</f>
        <v>Qualified Conversion Rate</v>
      </c>
      <c r="B12" s="27" t="n">
        <f aca="false">08_AI_Input!B19</f>
        <v>0.735294117647059</v>
      </c>
      <c r="C12" s="27" t="n">
        <f aca="false">08_AI_Input!C19</f>
        <v>0.723214285714286</v>
      </c>
      <c r="D12" s="27" t="n">
        <f aca="false">08_AI_Input!D19</f>
        <v>0.780487804878049</v>
      </c>
      <c r="E12" s="27" t="n">
        <f aca="false">08_AI_Input!E19</f>
        <v>0.0167029774872913</v>
      </c>
      <c r="F12" s="27" t="n">
        <f aca="false">08_AI_Input!F19</f>
        <v>-0.0579044117647058</v>
      </c>
      <c r="G12" s="27" t="n">
        <f aca="false">08_AI_Input!G19</f>
        <v>0.7</v>
      </c>
      <c r="H12" s="27" t="n">
        <f aca="false">08_AI_Input!H19</f>
        <v>1.05042016806723</v>
      </c>
      <c r="I12" s="7" t="str">
        <f aca="false">08_AI_Input!I19</f>
        <v>On Track</v>
      </c>
      <c r="J12" s="3"/>
      <c r="K12" s="3"/>
      <c r="L12" s="3"/>
      <c r="M12" s="3"/>
      <c r="N12" s="3"/>
      <c r="O12" s="3"/>
      <c r="P12" s="3"/>
    </row>
    <row r="13" customFormat="false" ht="23.25" hidden="false" customHeight="true" outlineLevel="0" collapsed="false">
      <c r="A13" s="7" t="str">
        <f aca="false">08_AI_Input!A20</f>
        <v>Non-brand Click Share</v>
      </c>
      <c r="B13" s="27" t="n">
        <f aca="false">08_AI_Input!B20</f>
        <v>0.277247471149736</v>
      </c>
      <c r="C13" s="27" t="n">
        <f aca="false">08_AI_Input!C20</f>
        <v>0.368463557439935</v>
      </c>
      <c r="D13" s="27" t="n">
        <f aca="false">08_AI_Input!D20</f>
        <v>0.530487804878049</v>
      </c>
      <c r="E13" s="27" t="n">
        <f aca="false">08_AI_Input!E20</f>
        <v>-0.247557959120743</v>
      </c>
      <c r="F13" s="27" t="n">
        <f aca="false">08_AI_Input!F20</f>
        <v>-0.477372583120037</v>
      </c>
      <c r="G13" s="27" t="n">
        <f aca="false">08_AI_Input!G20</f>
        <v>0.7</v>
      </c>
      <c r="H13" s="27" t="n">
        <f aca="false">08_AI_Input!H20</f>
        <v>0.396067815928195</v>
      </c>
      <c r="I13" s="7" t="str">
        <f aca="false">08_AI_Input!I20</f>
        <v>At Risk</v>
      </c>
      <c r="J13" s="3"/>
      <c r="K13" s="3"/>
      <c r="L13" s="3"/>
      <c r="M13" s="3"/>
      <c r="N13" s="3"/>
      <c r="O13" s="3"/>
      <c r="P13" s="3"/>
    </row>
    <row r="14" customFormat="false" ht="23.25" hidden="false" customHeight="true" outlineLevel="0" collapsed="false">
      <c r="A14" s="7" t="str">
        <f aca="false">08_AI_Input!A21</f>
        <v>Indexation Ratio</v>
      </c>
      <c r="B14" s="27" t="n">
        <f aca="false">08_AI_Input!B21</f>
        <v>0.975</v>
      </c>
      <c r="C14" s="27" t="str">
        <f aca="false">08_AI_Input!C21</f>
        <v/>
      </c>
      <c r="D14" s="27" t="str">
        <f aca="false">08_AI_Input!D21</f>
        <v/>
      </c>
      <c r="E14" s="27" t="str">
        <f aca="false">08_AI_Input!E21</f>
        <v/>
      </c>
      <c r="F14" s="27" t="str">
        <f aca="false">08_AI_Input!F21</f>
        <v/>
      </c>
      <c r="G14" s="27" t="n">
        <f aca="false">08_AI_Input!G21</f>
        <v>0.97</v>
      </c>
      <c r="H14" s="27" t="n">
        <f aca="false">08_AI_Input!H21</f>
        <v>1.00515463917526</v>
      </c>
      <c r="I14" s="7" t="str">
        <f aca="false">08_AI_Input!I21</f>
        <v>On Track</v>
      </c>
      <c r="J14" s="3"/>
      <c r="K14" s="3"/>
      <c r="L14" s="3"/>
      <c r="M14" s="3"/>
      <c r="N14" s="3"/>
      <c r="O14" s="3"/>
      <c r="P14" s="3"/>
    </row>
    <row r="15" customFormat="false" ht="23.25" hidden="false" customHeight="true" outlineLevel="0" collapsed="false">
      <c r="A15" s="7" t="str">
        <f aca="false">08_AI_Input!A22</f>
        <v>CWV Pass Rate</v>
      </c>
      <c r="B15" s="27" t="n">
        <f aca="false">08_AI_Input!B22</f>
        <v>0.888888888888889</v>
      </c>
      <c r="C15" s="27" t="str">
        <f aca="false">08_AI_Input!C22</f>
        <v/>
      </c>
      <c r="D15" s="27" t="str">
        <f aca="false">08_AI_Input!D22</f>
        <v/>
      </c>
      <c r="E15" s="27" t="str">
        <f aca="false">08_AI_Input!E22</f>
        <v/>
      </c>
      <c r="F15" s="27" t="str">
        <f aca="false">08_AI_Input!F22</f>
        <v/>
      </c>
      <c r="G15" s="27" t="n">
        <f aca="false">08_AI_Input!G22</f>
        <v>0.9</v>
      </c>
      <c r="H15" s="27" t="n">
        <f aca="false">08_AI_Input!H22</f>
        <v>0.987654320987654</v>
      </c>
      <c r="I15" s="7" t="str">
        <f aca="false">08_AI_Input!I22</f>
        <v>Watch</v>
      </c>
      <c r="J15" s="3"/>
      <c r="K15" s="3"/>
      <c r="L15" s="3"/>
      <c r="M15" s="3"/>
      <c r="N15" s="3"/>
      <c r="O15" s="3"/>
      <c r="P15" s="3"/>
    </row>
    <row r="16" customFormat="false" ht="23.25" hidden="false" customHeight="true" outlineLevel="0" collapsed="false">
      <c r="A16" s="7" t="str">
        <f aca="false">08_AI_Input!A23</f>
        <v>Critical Issue Rate</v>
      </c>
      <c r="B16" s="22" t="n">
        <f aca="false">08_AI_Input!B23</f>
        <v>0.0118421052631579</v>
      </c>
      <c r="C16" s="22" t="str">
        <f aca="false">08_AI_Input!C23</f>
        <v/>
      </c>
      <c r="D16" s="22" t="str">
        <f aca="false">08_AI_Input!D23</f>
        <v/>
      </c>
      <c r="E16" s="27" t="str">
        <f aca="false">08_AI_Input!E23</f>
        <v/>
      </c>
      <c r="F16" s="27" t="str">
        <f aca="false">08_AI_Input!F23</f>
        <v/>
      </c>
      <c r="G16" s="27" t="n">
        <f aca="false">08_AI_Input!G23</f>
        <v>0.01</v>
      </c>
      <c r="H16" s="27" t="n">
        <f aca="false">08_AI_Input!H23</f>
        <v>1.18421052631579</v>
      </c>
      <c r="I16" s="7" t="str">
        <f aca="false">08_AI_Input!I23</f>
        <v>Watch</v>
      </c>
      <c r="J16" s="3"/>
      <c r="K16" s="3"/>
      <c r="L16" s="3"/>
      <c r="M16" s="3"/>
      <c r="N16" s="3"/>
      <c r="O16" s="3"/>
      <c r="P16" s="3"/>
    </row>
    <row r="17" customFormat="false" ht="15" hidden="false" customHeight="tru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customFormat="false" ht="15" hidden="false" customHeight="true" outlineLevel="0" collapsed="false">
      <c r="A18" s="5" t="s">
        <v>801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3"/>
      <c r="N18" s="3"/>
      <c r="O18" s="3"/>
      <c r="P18" s="3"/>
    </row>
    <row r="19" customFormat="false" ht="27.75" hidden="false" customHeight="true" outlineLevel="0" collapsed="false">
      <c r="A19" s="6" t="s">
        <v>802</v>
      </c>
      <c r="B19" s="6" t="s">
        <v>751</v>
      </c>
      <c r="C19" s="6" t="s">
        <v>803</v>
      </c>
      <c r="D19" s="6" t="s">
        <v>804</v>
      </c>
      <c r="E19" s="6" t="s">
        <v>805</v>
      </c>
      <c r="F19" s="6" t="s">
        <v>80</v>
      </c>
      <c r="G19" s="6" t="s">
        <v>806</v>
      </c>
      <c r="H19" s="3"/>
      <c r="I19" s="3"/>
      <c r="J19" s="3"/>
      <c r="K19" s="3"/>
      <c r="L19" s="3"/>
      <c r="M19" s="3"/>
      <c r="N19" s="3"/>
      <c r="O19" s="3"/>
      <c r="P19" s="3"/>
    </row>
    <row r="20" customFormat="false" ht="45.75" hidden="false" customHeight="true" outlineLevel="0" collapsed="false">
      <c r="A20" s="7" t="s">
        <v>807</v>
      </c>
      <c r="B20" s="7" t="s">
        <v>808</v>
      </c>
      <c r="C20" s="7" t="s">
        <v>809</v>
      </c>
      <c r="D20" s="7" t="s">
        <v>810</v>
      </c>
      <c r="E20" s="7" t="s">
        <v>90</v>
      </c>
      <c r="F20" s="7" t="s">
        <v>85</v>
      </c>
      <c r="G20" s="7" t="s">
        <v>811</v>
      </c>
      <c r="H20" s="3"/>
      <c r="I20" s="3"/>
      <c r="J20" s="3"/>
      <c r="K20" s="3"/>
      <c r="L20" s="3"/>
      <c r="M20" s="3"/>
      <c r="N20" s="3"/>
      <c r="O20" s="3"/>
      <c r="P20" s="3"/>
    </row>
    <row r="21" customFormat="false" ht="15.75" hidden="false" customHeight="true" outlineLevel="0" collapsed="false">
      <c r="A21" s="7" t="s">
        <v>812</v>
      </c>
      <c r="B21" s="7" t="s">
        <v>813</v>
      </c>
      <c r="C21" s="7" t="s">
        <v>814</v>
      </c>
      <c r="D21" s="7" t="s">
        <v>815</v>
      </c>
      <c r="E21" s="7" t="s">
        <v>90</v>
      </c>
      <c r="F21" s="7" t="s">
        <v>90</v>
      </c>
      <c r="G21" s="7" t="s">
        <v>816</v>
      </c>
      <c r="H21" s="3"/>
      <c r="I21" s="3"/>
      <c r="J21" s="3"/>
      <c r="K21" s="3"/>
      <c r="L21" s="3"/>
      <c r="M21" s="3"/>
      <c r="N21" s="3"/>
      <c r="O21" s="3"/>
      <c r="P21" s="3"/>
    </row>
    <row r="22" customFormat="false" ht="15.75" hidden="false" customHeight="true" outlineLevel="0" collapsed="false">
      <c r="A22" s="7" t="s">
        <v>817</v>
      </c>
      <c r="B22" s="7" t="s">
        <v>818</v>
      </c>
      <c r="C22" s="7" t="s">
        <v>819</v>
      </c>
      <c r="D22" s="7" t="s">
        <v>820</v>
      </c>
      <c r="E22" s="7" t="s">
        <v>90</v>
      </c>
      <c r="F22" s="7" t="s">
        <v>85</v>
      </c>
      <c r="G22" s="7" t="s">
        <v>821</v>
      </c>
      <c r="H22" s="3"/>
      <c r="I22" s="3"/>
      <c r="J22" s="3"/>
      <c r="K22" s="3"/>
      <c r="L22" s="3"/>
      <c r="M22" s="3"/>
      <c r="N22" s="3"/>
      <c r="O22" s="3"/>
      <c r="P22" s="3"/>
    </row>
    <row r="23" customFormat="false" ht="15.75" hidden="false" customHeight="true" outlineLevel="0" collapsed="false">
      <c r="A23" s="7" t="s">
        <v>765</v>
      </c>
      <c r="B23" s="7" t="s">
        <v>822</v>
      </c>
      <c r="C23" s="7" t="s">
        <v>823</v>
      </c>
      <c r="D23" s="7" t="s">
        <v>824</v>
      </c>
      <c r="E23" s="7" t="s">
        <v>95</v>
      </c>
      <c r="F23" s="7" t="s">
        <v>90</v>
      </c>
      <c r="G23" s="7" t="s">
        <v>825</v>
      </c>
      <c r="H23" s="3"/>
      <c r="I23" s="3"/>
      <c r="J23" s="3"/>
      <c r="K23" s="3"/>
      <c r="L23" s="3"/>
      <c r="M23" s="3"/>
      <c r="N23" s="3"/>
      <c r="O23" s="3"/>
      <c r="P23" s="3"/>
    </row>
    <row r="24" customFormat="false" ht="15.7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customFormat="false" ht="15.75" hidden="false" customHeight="true" outlineLevel="0" collapsed="false">
      <c r="A25" s="5" t="s">
        <v>826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3"/>
      <c r="N25" s="3"/>
      <c r="O25" s="3"/>
      <c r="P25" s="3"/>
    </row>
    <row r="26" customFormat="false" ht="15.75" hidden="false" customHeight="true" outlineLevel="0" collapsed="false">
      <c r="A26" s="6" t="s">
        <v>592</v>
      </c>
      <c r="B26" s="6" t="s">
        <v>827</v>
      </c>
      <c r="C26" s="6" t="s">
        <v>80</v>
      </c>
      <c r="D26" s="6" t="s">
        <v>81</v>
      </c>
      <c r="E26" s="6" t="s">
        <v>828</v>
      </c>
      <c r="F26" s="6" t="s">
        <v>829</v>
      </c>
      <c r="G26" s="6" t="s">
        <v>830</v>
      </c>
      <c r="H26" s="6" t="s">
        <v>79</v>
      </c>
      <c r="I26" s="3"/>
      <c r="J26" s="3"/>
      <c r="K26" s="3"/>
      <c r="L26" s="3"/>
      <c r="M26" s="3"/>
      <c r="N26" s="3"/>
      <c r="O26" s="3"/>
      <c r="P26" s="3"/>
    </row>
    <row r="27" customFormat="false" ht="15.75" hidden="false" customHeight="true" outlineLevel="0" collapsed="false">
      <c r="A27" s="7" t="s">
        <v>593</v>
      </c>
      <c r="B27" s="7" t="s">
        <v>831</v>
      </c>
      <c r="C27" s="7" t="s">
        <v>90</v>
      </c>
      <c r="D27" s="7" t="s">
        <v>86</v>
      </c>
      <c r="E27" s="8" t="n">
        <v>46213</v>
      </c>
      <c r="F27" s="7" t="s">
        <v>832</v>
      </c>
      <c r="G27" s="7" t="s">
        <v>833</v>
      </c>
      <c r="H27" s="7" t="s">
        <v>108</v>
      </c>
      <c r="I27" s="3"/>
      <c r="J27" s="3"/>
      <c r="K27" s="3"/>
      <c r="L27" s="3"/>
      <c r="M27" s="3"/>
      <c r="N27" s="3"/>
      <c r="O27" s="3"/>
      <c r="P27" s="3"/>
    </row>
    <row r="28" customFormat="false" ht="15.75" hidden="false" customHeight="true" outlineLevel="0" collapsed="false">
      <c r="A28" s="7" t="s">
        <v>834</v>
      </c>
      <c r="B28" s="7" t="s">
        <v>835</v>
      </c>
      <c r="C28" s="7" t="s">
        <v>85</v>
      </c>
      <c r="D28" s="7" t="s">
        <v>836</v>
      </c>
      <c r="E28" s="8" t="n">
        <v>46218</v>
      </c>
      <c r="F28" s="7" t="s">
        <v>837</v>
      </c>
      <c r="G28" s="7" t="s">
        <v>838</v>
      </c>
      <c r="H28" s="7" t="s">
        <v>108</v>
      </c>
      <c r="I28" s="3"/>
      <c r="J28" s="3"/>
      <c r="K28" s="3"/>
      <c r="L28" s="3"/>
      <c r="M28" s="3"/>
      <c r="N28" s="3"/>
      <c r="O28" s="3"/>
      <c r="P28" s="3"/>
    </row>
    <row r="29" customFormat="false" ht="15.75" hidden="false" customHeight="true" outlineLevel="0" collapsed="false">
      <c r="A29" s="7" t="s">
        <v>595</v>
      </c>
      <c r="B29" s="7" t="s">
        <v>839</v>
      </c>
      <c r="C29" s="7" t="s">
        <v>85</v>
      </c>
      <c r="D29" s="7" t="s">
        <v>96</v>
      </c>
      <c r="E29" s="8" t="n">
        <v>46215</v>
      </c>
      <c r="F29" s="7" t="s">
        <v>840</v>
      </c>
      <c r="G29" s="7" t="s">
        <v>841</v>
      </c>
      <c r="H29" s="7" t="s">
        <v>104</v>
      </c>
      <c r="I29" s="3"/>
      <c r="J29" s="3"/>
      <c r="K29" s="3"/>
      <c r="L29" s="3"/>
      <c r="M29" s="3"/>
      <c r="N29" s="3"/>
      <c r="O29" s="3"/>
      <c r="P29" s="3"/>
    </row>
    <row r="30" customFormat="false" ht="15.75" hidden="false" customHeight="true" outlineLevel="0" collapsed="false">
      <c r="A30" s="7" t="s">
        <v>842</v>
      </c>
      <c r="B30" s="7" t="s">
        <v>766</v>
      </c>
      <c r="C30" s="7" t="s">
        <v>90</v>
      </c>
      <c r="D30" s="7" t="s">
        <v>91</v>
      </c>
      <c r="E30" s="8" t="n">
        <v>46221</v>
      </c>
      <c r="F30" s="7" t="s">
        <v>843</v>
      </c>
      <c r="G30" s="7" t="s">
        <v>797</v>
      </c>
      <c r="H30" s="7" t="s">
        <v>108</v>
      </c>
      <c r="I30" s="3"/>
      <c r="J30" s="3"/>
      <c r="K30" s="3"/>
      <c r="L30" s="3"/>
      <c r="M30" s="3"/>
      <c r="N30" s="3"/>
      <c r="O30" s="3"/>
      <c r="P30" s="3"/>
    </row>
    <row r="31" customFormat="false" ht="15.7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customFormat="false" ht="15.75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customFormat="false" ht="15.7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customFormat="false" ht="15.75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customFormat="false" ht="15.7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customFormat="false" ht="15.7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customFormat="false" ht="15.7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customFormat="false" ht="15.7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customFormat="false" ht="15.7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customFormat="false" ht="15.7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customFormat="false" ht="15.7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customFormat="false" ht="15.7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customFormat="false" ht="15.7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customFormat="false" ht="15.7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customFormat="false" ht="15.7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customFormat="false" ht="15.7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customFormat="false" ht="15.7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customFormat="false" ht="15.7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customFormat="false" ht="15.7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 customFormat="false" ht="15.7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customFormat="false" ht="15.7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customFormat="false" ht="15.7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customFormat="false" ht="15.7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customFormat="false" ht="15.7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customFormat="false" ht="15.7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customFormat="false" ht="15.7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customFormat="false" ht="15.7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customFormat="false" ht="15.7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customFormat="false" ht="15.7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customFormat="false" ht="15.7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 customFormat="false" ht="15.7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customFormat="false" ht="15.7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 customFormat="false" ht="15.7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 customFormat="false" ht="15.7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</row>
    <row r="65" customFormat="false" ht="15.7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customFormat="false" ht="15.7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 customFormat="false" ht="15.7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customFormat="false" ht="15.7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</row>
    <row r="69" customFormat="false" ht="15.7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customFormat="false" ht="15.7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customFormat="false" ht="15.7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customFormat="false" ht="15.7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customFormat="false" ht="15.7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</row>
    <row r="74" customFormat="false" ht="15.7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 customFormat="false" ht="15.7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</row>
    <row r="76" customFormat="false" ht="15.7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</row>
    <row r="77" customFormat="false" ht="15.7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</row>
    <row r="78" customFormat="false" ht="15.7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customFormat="false" ht="15.7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</row>
    <row r="80" customFormat="false" ht="15.7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</row>
    <row r="81" customFormat="false" ht="15.7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customFormat="false" ht="15.7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customFormat="false" ht="15.7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</row>
    <row r="84" customFormat="false" ht="15.7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</row>
    <row r="85" customFormat="false" ht="15.7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customFormat="false" ht="15.7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</row>
    <row r="87" customFormat="false" ht="15.7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</row>
    <row r="88" customFormat="false" ht="15.7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</row>
    <row r="89" customFormat="false" ht="15.7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</row>
    <row r="90" customFormat="false" ht="15.7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customFormat="false" ht="15.7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</row>
    <row r="92" customFormat="false" ht="15.7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customFormat="false" ht="15.7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</row>
    <row r="94" customFormat="false" ht="15.7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</row>
    <row r="95" customFormat="false" ht="15.7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customFormat="false" ht="15.7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</row>
    <row r="97" customFormat="false" ht="15.7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</row>
    <row r="98" customFormat="false" ht="15.7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</row>
    <row r="99" customFormat="false" ht="15.7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</row>
    <row r="100" customFormat="false" ht="15.7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</row>
    <row r="101" customFormat="false" ht="15.7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</row>
    <row r="102" customFormat="false" ht="15.7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</row>
    <row r="103" customFormat="false" ht="15.7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</row>
    <row r="104" customFormat="false" ht="15.7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customFormat="false" ht="15.7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</row>
    <row r="106" customFormat="false" ht="15.7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</row>
    <row r="107" customFormat="false" ht="15.7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</row>
    <row r="108" customFormat="false" ht="15.7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</row>
    <row r="109" customFormat="false" ht="15.7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</row>
    <row r="110" customFormat="false" ht="15.7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</row>
    <row r="111" customFormat="false" ht="15.7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</row>
    <row r="112" customFormat="false" ht="15.7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</row>
    <row r="113" customFormat="false" ht="15.7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</row>
    <row r="114" customFormat="false" ht="15.7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</row>
    <row r="115" customFormat="false" ht="15.7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</row>
    <row r="116" customFormat="false" ht="15.7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</row>
    <row r="117" customFormat="false" ht="15.7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</row>
    <row r="118" customFormat="false" ht="15.7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</row>
    <row r="119" customFormat="false" ht="15.7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</row>
    <row r="120" customFormat="false" ht="15.7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</row>
    <row r="121" customFormat="false" ht="15.7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</row>
    <row r="122" customFormat="false" ht="15.7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</row>
    <row r="123" customFormat="false" ht="15.7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</row>
    <row r="124" customFormat="false" ht="15.7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</row>
    <row r="125" customFormat="false" ht="15.7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</row>
    <row r="126" customFormat="false" ht="15.7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</row>
    <row r="127" customFormat="false" ht="15.7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</row>
    <row r="128" customFormat="false" ht="15.7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</row>
    <row r="129" customFormat="false" ht="15.7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</row>
    <row r="130" customFormat="false" ht="15.7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</row>
    <row r="131" customFormat="false" ht="15.7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</row>
    <row r="132" customFormat="false" ht="15.7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</row>
    <row r="133" customFormat="false" ht="15.7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</row>
    <row r="134" customFormat="false" ht="15.7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</row>
    <row r="135" customFormat="false" ht="15.7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</row>
    <row r="136" customFormat="false" ht="15.7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</row>
    <row r="137" customFormat="false" ht="15.7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</row>
    <row r="138" customFormat="false" ht="15.7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</row>
    <row r="139" customFormat="false" ht="15.7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</row>
    <row r="140" customFormat="false" ht="15.7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</row>
    <row r="141" customFormat="false" ht="15.7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</row>
    <row r="142" customFormat="false" ht="15.7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</row>
    <row r="143" customFormat="false" ht="15.7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</row>
    <row r="144" customFormat="false" ht="15.7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</row>
    <row r="145" customFormat="false" ht="15.7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</row>
    <row r="146" customFormat="false" ht="15.7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</row>
    <row r="147" customFormat="false" ht="15.7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</row>
    <row r="148" customFormat="false" ht="15.7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</row>
    <row r="149" customFormat="false" ht="15.7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</row>
    <row r="150" customFormat="false" ht="15.7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</row>
    <row r="151" customFormat="false" ht="15.7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</row>
    <row r="152" customFormat="false" ht="15.7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</row>
    <row r="153" customFormat="false" ht="15.7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</row>
    <row r="154" customFormat="false" ht="15.7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</row>
    <row r="155" customFormat="false" ht="15.7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</row>
    <row r="156" customFormat="false" ht="15.7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</row>
    <row r="157" customFormat="false" ht="15.7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</row>
    <row r="158" customFormat="false" ht="15.7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</row>
    <row r="159" customFormat="false" ht="15.7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</row>
    <row r="160" customFormat="false" ht="15.7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</row>
    <row r="161" customFormat="false" ht="15.7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</row>
    <row r="162" customFormat="false" ht="15.7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</row>
    <row r="163" customFormat="false" ht="15.7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</row>
    <row r="164" customFormat="false" ht="15.7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</row>
    <row r="165" customFormat="false" ht="15.7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</row>
    <row r="166" customFormat="false" ht="15.7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</row>
    <row r="167" customFormat="false" ht="15.7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</row>
    <row r="168" customFormat="false" ht="15.7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</row>
    <row r="169" customFormat="false" ht="15.7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</row>
    <row r="170" customFormat="false" ht="15.7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</row>
    <row r="171" customFormat="false" ht="15.7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</row>
    <row r="172" customFormat="false" ht="15.7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</row>
    <row r="173" customFormat="false" ht="15.7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</row>
    <row r="174" customFormat="false" ht="15.7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</row>
    <row r="175" customFormat="false" ht="15.7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</row>
    <row r="176" customFormat="false" ht="15.7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</row>
    <row r="177" customFormat="false" ht="15.7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</row>
    <row r="178" customFormat="false" ht="15.7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</row>
    <row r="179" customFormat="false" ht="15.7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</row>
    <row r="180" customFormat="false" ht="15.7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</row>
    <row r="181" customFormat="false" ht="15.7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</row>
    <row r="182" customFormat="false" ht="15.7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</row>
    <row r="183" customFormat="false" ht="15.7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</row>
    <row r="184" customFormat="false" ht="15.7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</row>
    <row r="185" customFormat="false" ht="15.7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</row>
    <row r="186" customFormat="false" ht="15.7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</row>
    <row r="187" customFormat="false" ht="15.7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</row>
    <row r="188" customFormat="false" ht="15.7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</row>
    <row r="189" customFormat="false" ht="15.7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</row>
    <row r="190" customFormat="false" ht="15.7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</row>
    <row r="191" customFormat="false" ht="15.7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</row>
    <row r="192" customFormat="false" ht="15.7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</row>
    <row r="193" customFormat="false" ht="15.7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</row>
    <row r="194" customFormat="false" ht="15.7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</row>
    <row r="195" customFormat="false" ht="15.7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</row>
    <row r="196" customFormat="false" ht="15.7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</row>
    <row r="197" customFormat="false" ht="15.7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</row>
    <row r="198" customFormat="false" ht="15.7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</row>
    <row r="199" customFormat="false" ht="15.7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</row>
    <row r="200" customFormat="false" ht="15.7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</row>
    <row r="201" customFormat="false" ht="15.7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</row>
    <row r="202" customFormat="false" ht="15.7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</row>
    <row r="203" customFormat="false" ht="15.7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</row>
    <row r="204" customFormat="false" ht="15.7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</row>
    <row r="205" customFormat="false" ht="15.7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</row>
    <row r="206" customFormat="false" ht="15.7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</row>
    <row r="207" customFormat="false" ht="15.7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</row>
    <row r="208" customFormat="false" ht="15.7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</row>
    <row r="209" customFormat="false" ht="15.7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</row>
    <row r="210" customFormat="false" ht="15.7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</row>
    <row r="211" customFormat="false" ht="15.7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</row>
    <row r="212" customFormat="false" ht="15.7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</row>
    <row r="213" customFormat="false" ht="15.7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</row>
    <row r="214" customFormat="false" ht="15.7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</row>
    <row r="215" customFormat="false" ht="15.7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</row>
    <row r="216" customFormat="false" ht="15.7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</row>
    <row r="217" customFormat="false" ht="15.7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</row>
    <row r="218" customFormat="false" ht="15.7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</row>
    <row r="219" customFormat="false" ht="15.7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</row>
    <row r="220" customFormat="false" ht="15.7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</row>
    <row r="221" customFormat="false" ht="15.7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</row>
    <row r="222" customFormat="false" ht="15.7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</row>
    <row r="223" customFormat="false" ht="15.7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</row>
    <row r="224" customFormat="false" ht="15.7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</row>
    <row r="225" customFormat="false" ht="15.7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</row>
    <row r="226" customFormat="false" ht="15.7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</row>
    <row r="227" customFormat="false" ht="15.7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</row>
    <row r="228" customFormat="false" ht="15.7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</row>
    <row r="229" customFormat="false" ht="15.7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</row>
    <row r="230" customFormat="false" ht="15.7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</row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5">
    <mergeCell ref="A1:L2"/>
    <mergeCell ref="A3:L3"/>
    <mergeCell ref="A5:L5"/>
    <mergeCell ref="A18:L18"/>
    <mergeCell ref="A25:L2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5" min="2" style="1" width="14"/>
    <col collapsed="false" customWidth="true" hidden="false" outlineLevel="0" max="7" min="6" style="1" width="12"/>
    <col collapsed="false" customWidth="true" hidden="false" outlineLevel="0" max="8" min="8" style="1" width="14"/>
    <col collapsed="false" customWidth="true" hidden="false" outlineLevel="0" max="10" min="9" style="1" width="16"/>
    <col collapsed="false" customWidth="true" hidden="false" outlineLevel="0" max="12" min="11" style="1" width="22"/>
    <col collapsed="false" customWidth="true" hidden="false" outlineLevel="0" max="26" min="13" style="1" width="14"/>
  </cols>
  <sheetData>
    <row r="1" customFormat="false" ht="15" hidden="false" customHeight="true" outlineLevel="0" collapsed="false">
      <c r="A1" s="2" t="s">
        <v>844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3"/>
      <c r="P1" s="3"/>
    </row>
    <row r="2" customFormat="false" ht="1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3"/>
      <c r="O2" s="3"/>
      <c r="P2" s="3"/>
    </row>
    <row r="3" customFormat="false" ht="15" hidden="false" customHeight="true" outlineLevel="0" collapsed="false">
      <c r="A3" s="4" t="s">
        <v>845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3"/>
      <c r="N3" s="3"/>
      <c r="O3" s="3"/>
      <c r="P3" s="3"/>
    </row>
    <row r="4" customFormat="false" ht="15" hidden="false" customHeight="tru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customFormat="false" ht="15" hidden="false" customHeight="true" outlineLevel="0" collapsed="false">
      <c r="A5" s="5" t="s">
        <v>846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3"/>
      <c r="N5" s="3"/>
      <c r="O5" s="3"/>
      <c r="P5" s="3"/>
    </row>
    <row r="6" customFormat="false" ht="23.25" hidden="false" customHeight="true" outlineLevel="0" collapsed="false">
      <c r="A6" s="21" t="s">
        <v>147</v>
      </c>
      <c r="B6" s="21" t="s">
        <v>152</v>
      </c>
      <c r="C6" s="21" t="s">
        <v>712</v>
      </c>
      <c r="D6" s="21" t="s">
        <v>93</v>
      </c>
      <c r="E6" s="21" t="s">
        <v>847</v>
      </c>
      <c r="F6" s="21" t="s">
        <v>171</v>
      </c>
      <c r="G6" s="21" t="s">
        <v>172</v>
      </c>
      <c r="H6" s="21" t="s">
        <v>173</v>
      </c>
      <c r="I6" s="21" t="s">
        <v>848</v>
      </c>
      <c r="J6" s="21" t="s">
        <v>79</v>
      </c>
      <c r="K6" s="21" t="s">
        <v>592</v>
      </c>
      <c r="L6" s="3"/>
      <c r="M6" s="3"/>
      <c r="N6" s="3"/>
      <c r="O6" s="3"/>
      <c r="P6" s="3"/>
    </row>
    <row r="7" customFormat="false" ht="15" hidden="false" customHeight="true" outlineLevel="0" collapsed="false">
      <c r="A7" s="7" t="s">
        <v>157</v>
      </c>
      <c r="B7" s="7" t="n">
        <f aca="false">SUMIFS(09_Data_GA4!$I:$I,09_Data_GA4!$A:$A,"&gt;="&amp;00_Setup!$C$14,09_Data_GA4!$A:$A,"&lt;="&amp;00_Setup!$C$15,09_Data_GA4!$B:$B,A7)</f>
        <v>2006</v>
      </c>
      <c r="C7" s="7" t="n">
        <f aca="false">COUNTIFS(11_Data_Conversions!$B:$B,"&gt;="&amp;00_Setup!$C$14,11_Data_Conversions!$B:$B,"&lt;="&amp;00_Setup!$C$15,11_Data_Conversions!$C:$C,A7)</f>
        <v>28</v>
      </c>
      <c r="D7" s="7" t="n">
        <f aca="false">COUNTIFS(11_Data_Conversions!$B:$B,"&gt;="&amp;00_Setup!$C$14,11_Data_Conversions!$B:$B,"&lt;="&amp;00_Setup!$C$15,11_Data_Conversions!$C:$C,A7,11_Data_Conversions!$J:$J,"Yes")</f>
        <v>23</v>
      </c>
      <c r="E7" s="27" t="n">
        <f aca="false">IF(B7=0,0,C7/B7)</f>
        <v>0.0139581256231306</v>
      </c>
      <c r="F7" s="27" t="n">
        <f aca="false">SUMIFS(10_Data_GSC!$F:$F,10_Data_GSC!$A:$A,"&gt;="&amp;00_Setup!$C$14,10_Data_GSC!$A:$A,"&lt;="&amp;00_Setup!$C$15,10_Data_GSC!$C:$C,A7)</f>
        <v>723</v>
      </c>
      <c r="G7" s="27" t="n">
        <f aca="false">SUMIFS(10_Data_GSC!$G:$G,10_Data_GSC!$A:$A,"&gt;="&amp;00_Setup!$C$14,10_Data_GSC!$A:$A,"&lt;="&amp;00_Setup!$C$15,10_Data_GSC!$C:$C,A7)</f>
        <v>26416</v>
      </c>
      <c r="H7" s="27" t="n">
        <f aca="false">IF(G7=0,0,F7/G7)</f>
        <v>0.0273697758933979</v>
      </c>
      <c r="I7" s="7" t="n">
        <f aca="false">IFERROR(SUMPRODUCT((10_Data_GSC!$A$6:$A$1000&gt;=00_Setup!$C$14)*(10_Data_GSC!$A$6:$A$1000&lt;=00_Setup!$C$15)*(10_Data_GSC!$C$6:$C$1000=A7)*10_Data_GSC!$I$6:$I$1000*10_Data_GSC!$G$6:$G$1000)/G7,0)</f>
        <v>7.36823478195033</v>
      </c>
      <c r="J7" s="7" t="str">
        <f aca="false">IF(OR(E7&lt;0.005,H7&lt;0.02),"Watch","On Track")</f>
        <v>On Track</v>
      </c>
      <c r="K7" s="7" t="str">
        <f aca="false">IF(E7&lt;0.005,"Improve conversion path",IF(H7&lt;0.02,"Improve snippet CTR","Scale / protect"))</f>
        <v>Scale / protect</v>
      </c>
      <c r="L7" s="3"/>
      <c r="M7" s="3"/>
      <c r="N7" s="3"/>
      <c r="O7" s="3"/>
      <c r="P7" s="3"/>
    </row>
    <row r="8" customFormat="false" ht="15" hidden="false" customHeight="true" outlineLevel="0" collapsed="false">
      <c r="A8" s="7" t="s">
        <v>161</v>
      </c>
      <c r="B8" s="7" t="n">
        <f aca="false">SUMIFS(09_Data_GA4!$I:$I,09_Data_GA4!$A:$A,"&gt;="&amp;00_Setup!$C$14,09_Data_GA4!$A:$A,"&lt;="&amp;00_Setup!$C$15,09_Data_GA4!$B:$B,A8)</f>
        <v>1957</v>
      </c>
      <c r="C8" s="7" t="n">
        <f aca="false">COUNTIFS(11_Data_Conversions!$B:$B,"&gt;="&amp;00_Setup!$C$14,11_Data_Conversions!$B:$B,"&lt;="&amp;00_Setup!$C$15,11_Data_Conversions!$C:$C,A8)</f>
        <v>35</v>
      </c>
      <c r="D8" s="7" t="n">
        <f aca="false">COUNTIFS(11_Data_Conversions!$B:$B,"&gt;="&amp;00_Setup!$C$14,11_Data_Conversions!$B:$B,"&lt;="&amp;00_Setup!$C$15,11_Data_Conversions!$C:$C,A8,11_Data_Conversions!$J:$J,"Yes")</f>
        <v>27</v>
      </c>
      <c r="E8" s="27" t="n">
        <f aca="false">IF(B8=0,0,C8/B8)</f>
        <v>0.0178845171180378</v>
      </c>
      <c r="F8" s="27" t="n">
        <f aca="false">SUMIFS(10_Data_GSC!$F:$F,10_Data_GSC!$A:$A,"&gt;="&amp;00_Setup!$C$14,10_Data_GSC!$A:$A,"&lt;="&amp;00_Setup!$C$15,10_Data_GSC!$C:$C,A8)</f>
        <v>737</v>
      </c>
      <c r="G8" s="27" t="n">
        <f aca="false">SUMIFS(10_Data_GSC!$G:$G,10_Data_GSC!$A:$A,"&gt;="&amp;00_Setup!$C$14,10_Data_GSC!$A:$A,"&lt;="&amp;00_Setup!$C$15,10_Data_GSC!$C:$C,A8)</f>
        <v>26835</v>
      </c>
      <c r="H8" s="27" t="n">
        <f aca="false">IF(G8=0,0,F8/G8)</f>
        <v>0.0274641326625675</v>
      </c>
      <c r="I8" s="7" t="n">
        <f aca="false">IFERROR(SUMPRODUCT((10_Data_GSC!$A$6:$A$1000&gt;=00_Setup!$C$14)*(10_Data_GSC!$A$6:$A$1000&lt;=00_Setup!$C$15)*(10_Data_GSC!$C$6:$C$1000=A8)*10_Data_GSC!$I$6:$I$1000*10_Data_GSC!$G$6:$G$1000)/G8,0)</f>
        <v>7.42847922489286</v>
      </c>
      <c r="J8" s="7" t="str">
        <f aca="false">IF(OR(E8&lt;0.005,H8&lt;0.02),"Watch","On Track")</f>
        <v>On Track</v>
      </c>
      <c r="K8" s="7" t="str">
        <f aca="false">IF(E8&lt;0.005,"Improve conversion path",IF(H8&lt;0.02,"Improve snippet CTR","Scale / protect"))</f>
        <v>Scale / protect</v>
      </c>
      <c r="L8" s="3"/>
      <c r="M8" s="3"/>
      <c r="N8" s="3"/>
      <c r="O8" s="3"/>
      <c r="P8" s="3"/>
    </row>
    <row r="9" customFormat="false" ht="15" hidden="false" customHeight="true" outlineLevel="0" collapsed="false">
      <c r="A9" s="7" t="s">
        <v>162</v>
      </c>
      <c r="B9" s="7" t="n">
        <f aca="false">SUMIFS(09_Data_GA4!$I:$I,09_Data_GA4!$A:$A,"&gt;="&amp;00_Setup!$C$14,09_Data_GA4!$A:$A,"&lt;="&amp;00_Setup!$C$15,09_Data_GA4!$B:$B,A9)</f>
        <v>1467</v>
      </c>
      <c r="C9" s="7" t="n">
        <f aca="false">COUNTIFS(11_Data_Conversions!$B:$B,"&gt;="&amp;00_Setup!$C$14,11_Data_Conversions!$B:$B,"&lt;="&amp;00_Setup!$C$15,11_Data_Conversions!$C:$C,A9)</f>
        <v>35</v>
      </c>
      <c r="D9" s="7" t="n">
        <f aca="false">COUNTIFS(11_Data_Conversions!$B:$B,"&gt;="&amp;00_Setup!$C$14,11_Data_Conversions!$B:$B,"&lt;="&amp;00_Setup!$C$15,11_Data_Conversions!$C:$C,A9,11_Data_Conversions!$J:$J,"Yes")</f>
        <v>26</v>
      </c>
      <c r="E9" s="27" t="n">
        <f aca="false">IF(B9=0,0,C9/B9)</f>
        <v>0.0238582140422631</v>
      </c>
      <c r="F9" s="27" t="n">
        <f aca="false">SUMIFS(10_Data_GSC!$F:$F,10_Data_GSC!$A:$A,"&gt;="&amp;00_Setup!$C$14,10_Data_GSC!$A:$A,"&lt;="&amp;00_Setup!$C$15,10_Data_GSC!$C:$C,A9)</f>
        <v>240</v>
      </c>
      <c r="G9" s="27" t="n">
        <f aca="false">SUMIFS(10_Data_GSC!$G:$G,10_Data_GSC!$A:$A,"&gt;="&amp;00_Setup!$C$14,10_Data_GSC!$A:$A,"&lt;="&amp;00_Setup!$C$15,10_Data_GSC!$C:$C,A9)</f>
        <v>19669</v>
      </c>
      <c r="H9" s="27" t="n">
        <f aca="false">IF(G9=0,0,F9/G9)</f>
        <v>0.0122019421424577</v>
      </c>
      <c r="I9" s="7" t="n">
        <f aca="false">IFERROR(SUMPRODUCT((10_Data_GSC!$A$6:$A$1000&gt;=00_Setup!$C$14)*(10_Data_GSC!$A$6:$A$1000&lt;=00_Setup!$C$15)*(10_Data_GSC!$C$6:$C$1000=A9)*10_Data_GSC!$I$6:$I$1000*10_Data_GSC!$G$6:$G$1000)/G9,0)</f>
        <v>11.75353602115</v>
      </c>
      <c r="J9" s="7" t="str">
        <f aca="false">IF(OR(E9&lt;0.005,H9&lt;0.02),"Watch","On Track")</f>
        <v>Watch</v>
      </c>
      <c r="K9" s="7" t="str">
        <f aca="false">IF(E9&lt;0.005,"Improve conversion path",IF(H9&lt;0.02,"Improve snippet CTR","Scale / protect"))</f>
        <v>Improve snippet CTR</v>
      </c>
      <c r="L9" s="3"/>
      <c r="M9" s="3"/>
      <c r="N9" s="3"/>
      <c r="O9" s="3"/>
      <c r="P9" s="3"/>
    </row>
    <row r="10" customFormat="false" ht="15" hidden="false" customHeight="true" outlineLevel="0" collapsed="false">
      <c r="A10" s="7" t="s">
        <v>163</v>
      </c>
      <c r="B10" s="7" t="n">
        <f aca="false">SUMIFS(09_Data_GA4!$I:$I,09_Data_GA4!$A:$A,"&gt;="&amp;00_Setup!$C$14,09_Data_GA4!$A:$A,"&lt;="&amp;00_Setup!$C$15,09_Data_GA4!$B:$B,A10)</f>
        <v>1472</v>
      </c>
      <c r="C10" s="7" t="n">
        <f aca="false">COUNTIFS(11_Data_Conversions!$B:$B,"&gt;="&amp;00_Setup!$C$14,11_Data_Conversions!$B:$B,"&lt;="&amp;00_Setup!$C$15,11_Data_Conversions!$C:$C,A10)</f>
        <v>38</v>
      </c>
      <c r="D10" s="7" t="n">
        <f aca="false">COUNTIFS(11_Data_Conversions!$B:$B,"&gt;="&amp;00_Setup!$C$14,11_Data_Conversions!$B:$B,"&lt;="&amp;00_Setup!$C$15,11_Data_Conversions!$C:$C,A10,11_Data_Conversions!$J:$J,"Yes")</f>
        <v>24</v>
      </c>
      <c r="E10" s="27" t="n">
        <f aca="false">IF(B10=0,0,C10/B10)</f>
        <v>0.0258152173913043</v>
      </c>
      <c r="F10" s="27" t="n">
        <f aca="false">SUMIFS(10_Data_GSC!$F:$F,10_Data_GSC!$A:$A,"&gt;="&amp;00_Setup!$C$14,10_Data_GSC!$A:$A,"&lt;="&amp;00_Setup!$C$15,10_Data_GSC!$C:$C,A10)</f>
        <v>246</v>
      </c>
      <c r="G10" s="27" t="n">
        <f aca="false">SUMIFS(10_Data_GSC!$G:$G,10_Data_GSC!$A:$A,"&gt;="&amp;00_Setup!$C$14,10_Data_GSC!$A:$A,"&lt;="&amp;00_Setup!$C$15,10_Data_GSC!$C:$C,A10)</f>
        <v>20150</v>
      </c>
      <c r="H10" s="27" t="n">
        <f aca="false">IF(G10=0,0,F10/G10)</f>
        <v>0.0122084367245658</v>
      </c>
      <c r="I10" s="7" t="n">
        <f aca="false">IFERROR(SUMPRODUCT((10_Data_GSC!$A$6:$A$1000&gt;=00_Setup!$C$14)*(10_Data_GSC!$A$6:$A$1000&lt;=00_Setup!$C$15)*(10_Data_GSC!$C$6:$C$1000=A10)*10_Data_GSC!$I$6:$I$1000*10_Data_GSC!$G$6:$G$1000)/G10,0)</f>
        <v>11.8648426799007</v>
      </c>
      <c r="J10" s="7" t="str">
        <f aca="false">IF(OR(E10&lt;0.005,H10&lt;0.02),"Watch","On Track")</f>
        <v>Watch</v>
      </c>
      <c r="K10" s="7" t="str">
        <f aca="false">IF(E10&lt;0.005,"Improve conversion path",IF(H10&lt;0.02,"Improve snippet CTR","Scale / protect"))</f>
        <v>Improve snippet CTR</v>
      </c>
      <c r="L10" s="3"/>
      <c r="M10" s="3"/>
      <c r="N10" s="3"/>
      <c r="O10" s="3"/>
      <c r="P10" s="3"/>
    </row>
    <row r="11" customFormat="false" ht="15" hidden="false" customHeight="tru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customFormat="false" ht="15" hidden="false" customHeight="true" outlineLevel="0" collapsed="false">
      <c r="A12" s="5" t="s">
        <v>849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3"/>
      <c r="N12" s="3"/>
      <c r="O12" s="3"/>
      <c r="P12" s="3"/>
    </row>
    <row r="13" customFormat="false" ht="23.25" hidden="false" customHeight="true" outlineLevel="0" collapsed="false">
      <c r="A13" s="21" t="s">
        <v>170</v>
      </c>
      <c r="B13" s="21" t="s">
        <v>147</v>
      </c>
      <c r="C13" s="21" t="s">
        <v>171</v>
      </c>
      <c r="D13" s="21" t="s">
        <v>172</v>
      </c>
      <c r="E13" s="21" t="s">
        <v>173</v>
      </c>
      <c r="F13" s="21" t="s">
        <v>126</v>
      </c>
      <c r="G13" s="21" t="s">
        <v>850</v>
      </c>
      <c r="H13" s="21" t="s">
        <v>851</v>
      </c>
      <c r="I13" s="21" t="s">
        <v>852</v>
      </c>
      <c r="J13" s="21" t="s">
        <v>853</v>
      </c>
      <c r="K13" s="21" t="s">
        <v>80</v>
      </c>
      <c r="L13" s="21" t="s">
        <v>592</v>
      </c>
      <c r="M13" s="12" t="s">
        <v>772</v>
      </c>
      <c r="N13" s="3"/>
      <c r="O13" s="3"/>
      <c r="P13" s="3"/>
    </row>
    <row r="14" customFormat="false" ht="23.25" hidden="false" customHeight="true" outlineLevel="0" collapsed="false">
      <c r="A14" s="7" t="s">
        <v>180</v>
      </c>
      <c r="B14" s="64" t="str">
        <f aca="false">IFERROR(INDEX(10_Data_GSC!$C:$C,MATCH(A14,10_Data_GSC!$B:$B,0)),"")</f>
        <v>/service-a/</v>
      </c>
      <c r="C14" s="7" t="n">
        <f aca="false">SUMIFS(10_Data_GSC!$F:$F,10_Data_GSC!$A:$A,"&gt;="&amp;00_Setup!$C$14,10_Data_GSC!$A:$A,"&lt;="&amp;00_Setup!$C$15,10_Data_GSC!$B:$B,A14)</f>
        <v>723</v>
      </c>
      <c r="D14" s="7" t="n">
        <f aca="false">SUMIFS(10_Data_GSC!$G:$G,10_Data_GSC!$A:$A,"&gt;="&amp;00_Setup!$C$14,10_Data_GSC!$A:$A,"&lt;="&amp;00_Setup!$C$15,10_Data_GSC!$B:$B,A14)</f>
        <v>26416</v>
      </c>
      <c r="E14" s="27" t="n">
        <f aca="false">IF(D14=0,0,C14/D14)</f>
        <v>0.0273697758933979</v>
      </c>
      <c r="F14" s="27" t="n">
        <f aca="false">IFERROR(SUMPRODUCT((10_Data_GSC!$A$6:$A$1000&gt;=00_Setup!$C$14)*(10_Data_GSC!$A$6:$A$1000&lt;=00_Setup!$C$15)*(10_Data_GSC!$B$6:$B$1000=A14)*10_Data_GSC!$I$6:$I$1000*10_Data_GSC!$G$6:$G$1000)/D14,0)</f>
        <v>7.36823478195033</v>
      </c>
      <c r="G14" s="29" t="n">
        <f aca="false">IF(F14="","",IF(F14&gt;20,00_Setup!$C$79,IFERROR(INDEX(00_Setup!$C$59:$C$78,MATCH(MAX(1,ROUND(F14,0)),00_Setup!$B$59:$B$78,0)),00_Setup!$C$79)))</f>
        <v>0.043</v>
      </c>
      <c r="H14" s="65" t="n">
        <f aca="false">MAX(0,D14*G14-C14)</f>
        <v>412.888</v>
      </c>
      <c r="I14" s="65" t="n">
        <f aca="false">IFERROR(INDEX($E$7:$E$10,MATCH(B14,$A$7:$A$10,0)),0)</f>
        <v>0.0139581256231306</v>
      </c>
      <c r="J14" s="65" t="n">
        <f aca="false">H14*I14</f>
        <v>5.76314257228315</v>
      </c>
      <c r="K14" s="57" t="str">
        <f aca="false">IF(M14&gt;=400,"High",IF(M14&gt;=100,"Medium","Low"))</f>
        <v>High</v>
      </c>
      <c r="L14" s="7" t="str">
        <f aca="false">IF(F14&lt;=10,"Improve CTR / push Top 3","Improve content and authority")</f>
        <v>Improve CTR / push Top 3</v>
      </c>
      <c r="M14" s="66" t="n">
        <f aca="false">IFERROR(ROUND(H14*IF(F14&lt;=3,00_Setup!$C$84,IF(F14&lt;=10,00_Setup!$C$85,IF(F14&lt;=20,00_Setup!$C$86,00_Setup!$C$87))),0),0)</f>
        <v>619</v>
      </c>
      <c r="N14" s="3"/>
      <c r="O14" s="3"/>
      <c r="P14" s="3"/>
    </row>
    <row r="15" customFormat="false" ht="23.25" hidden="false" customHeight="true" outlineLevel="0" collapsed="false">
      <c r="A15" s="7" t="s">
        <v>184</v>
      </c>
      <c r="B15" s="64" t="str">
        <f aca="false">IFERROR(INDEX(10_Data_GSC!$C:$C,MATCH(A15,10_Data_GSC!$B:$B,0)),"")</f>
        <v>/service-b/</v>
      </c>
      <c r="C15" s="7" t="n">
        <f aca="false">SUMIFS(10_Data_GSC!$F:$F,10_Data_GSC!$A:$A,"&gt;="&amp;00_Setup!$C$14,10_Data_GSC!$A:$A,"&lt;="&amp;00_Setup!$C$15,10_Data_GSC!$B:$B,A15)</f>
        <v>737</v>
      </c>
      <c r="D15" s="7" t="n">
        <f aca="false">SUMIFS(10_Data_GSC!$G:$G,10_Data_GSC!$A:$A,"&gt;="&amp;00_Setup!$C$14,10_Data_GSC!$A:$A,"&lt;="&amp;00_Setup!$C$15,10_Data_GSC!$B:$B,A15)</f>
        <v>26835</v>
      </c>
      <c r="E15" s="27" t="n">
        <f aca="false">IF(D15=0,0,C15/D15)</f>
        <v>0.0274641326625675</v>
      </c>
      <c r="F15" s="27" t="n">
        <f aca="false">IFERROR(SUMPRODUCT((10_Data_GSC!$A$6:$A$1000&gt;=00_Setup!$C$14)*(10_Data_GSC!$A$6:$A$1000&lt;=00_Setup!$C$15)*(10_Data_GSC!$B$6:$B$1000=A15)*10_Data_GSC!$I$6:$I$1000*10_Data_GSC!$G$6:$G$1000)/D15,0)</f>
        <v>7.42847922489286</v>
      </c>
      <c r="G15" s="29" t="n">
        <f aca="false">IF(F15="","",IF(F15&gt;20,00_Setup!$C$79,IFERROR(INDEX(00_Setup!$C$59:$C$78,MATCH(MAX(1,ROUND(F15,0)),00_Setup!$B$59:$B$78,0)),00_Setup!$C$79)))</f>
        <v>0.043</v>
      </c>
      <c r="H15" s="65" t="n">
        <f aca="false">MAX(0,D15*G15-C15)</f>
        <v>416.905</v>
      </c>
      <c r="I15" s="65" t="n">
        <f aca="false">IFERROR(INDEX($E$7:$E$10,MATCH(B15,$A$7:$A$10,0)),0)</f>
        <v>0.0178845171180378</v>
      </c>
      <c r="J15" s="65" t="n">
        <f aca="false">H15*I15</f>
        <v>7.45614460909555</v>
      </c>
      <c r="K15" s="57" t="str">
        <f aca="false">IF(M15&gt;=400,"High",IF(M15&gt;=100,"Medium","Low"))</f>
        <v>High</v>
      </c>
      <c r="L15" s="7" t="str">
        <f aca="false">IF(F15&lt;=10,"Improve CTR / push Top 3","Improve content and authority")</f>
        <v>Improve CTR / push Top 3</v>
      </c>
      <c r="M15" s="66" t="n">
        <f aca="false">IFERROR(ROUND(H15*IF(F15&lt;=3,00_Setup!$C$84,IF(F15&lt;=10,00_Setup!$C$85,IF(F15&lt;=20,00_Setup!$C$86,00_Setup!$C$87))),0),0)</f>
        <v>625</v>
      </c>
      <c r="N15" s="3"/>
      <c r="O15" s="3"/>
      <c r="P15" s="3"/>
    </row>
    <row r="16" customFormat="false" ht="23.25" hidden="false" customHeight="true" outlineLevel="0" collapsed="false">
      <c r="A16" s="7" t="s">
        <v>186</v>
      </c>
      <c r="B16" s="64" t="str">
        <f aca="false">IFERROR(INDEX(10_Data_GSC!$C:$C,MATCH(A16,10_Data_GSC!$B:$B,0)),"")</f>
        <v>/blog/topic-a/</v>
      </c>
      <c r="C16" s="7" t="n">
        <f aca="false">SUMIFS(10_Data_GSC!$F:$F,10_Data_GSC!$A:$A,"&gt;="&amp;00_Setup!$C$14,10_Data_GSC!$A:$A,"&lt;="&amp;00_Setup!$C$15,10_Data_GSC!$B:$B,A16)</f>
        <v>240</v>
      </c>
      <c r="D16" s="7" t="n">
        <f aca="false">SUMIFS(10_Data_GSC!$G:$G,10_Data_GSC!$A:$A,"&gt;="&amp;00_Setup!$C$14,10_Data_GSC!$A:$A,"&lt;="&amp;00_Setup!$C$15,10_Data_GSC!$B:$B,A16)</f>
        <v>19669</v>
      </c>
      <c r="E16" s="27" t="n">
        <f aca="false">IF(D16=0,0,C16/D16)</f>
        <v>0.0122019421424577</v>
      </c>
      <c r="F16" s="27" t="n">
        <f aca="false">IFERROR(SUMPRODUCT((10_Data_GSC!$A$6:$A$1000&gt;=00_Setup!$C$14)*(10_Data_GSC!$A$6:$A$1000&lt;=00_Setup!$C$15)*(10_Data_GSC!$B$6:$B$1000=A16)*10_Data_GSC!$I$6:$I$1000*10_Data_GSC!$G$6:$G$1000)/D16,0)</f>
        <v>11.75353602115</v>
      </c>
      <c r="G16" s="29" t="n">
        <f aca="false">IF(F16="","",IF(F16&gt;20,00_Setup!$C$79,IFERROR(INDEX(00_Setup!$C$59:$C$78,MATCH(MAX(1,ROUND(F16,0)),00_Setup!$B$59:$B$78,0)),00_Setup!$C$79)))</f>
        <v>0.021</v>
      </c>
      <c r="H16" s="65" t="n">
        <f aca="false">MAX(0,D16*G16-C16)</f>
        <v>173.049</v>
      </c>
      <c r="I16" s="65" t="n">
        <f aca="false">IFERROR(INDEX($E$7:$E$10,MATCH(B16,$A$7:$A$10,0)),0)</f>
        <v>0.0238582140422631</v>
      </c>
      <c r="J16" s="65" t="n">
        <f aca="false">H16*I16</f>
        <v>4.12864008179959</v>
      </c>
      <c r="K16" s="57" t="str">
        <f aca="false">IF(M16&gt;=400,"High",IF(M16&gt;=100,"Medium","Low"))</f>
        <v>Medium</v>
      </c>
      <c r="L16" s="7" t="str">
        <f aca="false">IF(F16&lt;=10,"Improve CTR / push Top 3","Improve content and authority")</f>
        <v>Improve content and authority</v>
      </c>
      <c r="M16" s="66" t="n">
        <f aca="false">IFERROR(ROUND(H16*IF(F16&lt;=3,00_Setup!$C$84,IF(F16&lt;=10,00_Setup!$C$85,IF(F16&lt;=20,00_Setup!$C$86,00_Setup!$C$87))),0),0)</f>
        <v>173</v>
      </c>
      <c r="N16" s="3"/>
      <c r="O16" s="3"/>
      <c r="P16" s="3"/>
    </row>
    <row r="17" customFormat="false" ht="23.25" hidden="false" customHeight="true" outlineLevel="0" collapsed="false">
      <c r="A17" s="7" t="s">
        <v>189</v>
      </c>
      <c r="B17" s="64" t="str">
        <f aca="false">IFERROR(INDEX(10_Data_GSC!$C:$C,MATCH(A17,10_Data_GSC!$B:$B,0)),"")</f>
        <v>/blog/topic-b/</v>
      </c>
      <c r="C17" s="7" t="n">
        <f aca="false">SUMIFS(10_Data_GSC!$F:$F,10_Data_GSC!$A:$A,"&gt;="&amp;00_Setup!$C$14,10_Data_GSC!$A:$A,"&lt;="&amp;00_Setup!$C$15,10_Data_GSC!$B:$B,A17)</f>
        <v>246</v>
      </c>
      <c r="D17" s="7" t="n">
        <f aca="false">SUMIFS(10_Data_GSC!$G:$G,10_Data_GSC!$A:$A,"&gt;="&amp;00_Setup!$C$14,10_Data_GSC!$A:$A,"&lt;="&amp;00_Setup!$C$15,10_Data_GSC!$B:$B,A17)</f>
        <v>20150</v>
      </c>
      <c r="E17" s="27" t="n">
        <f aca="false">IF(D17=0,0,C17/D17)</f>
        <v>0.0122084367245658</v>
      </c>
      <c r="F17" s="27" t="n">
        <f aca="false">IFERROR(SUMPRODUCT((10_Data_GSC!$A$6:$A$1000&gt;=00_Setup!$C$14)*(10_Data_GSC!$A$6:$A$1000&lt;=00_Setup!$C$15)*(10_Data_GSC!$B$6:$B$1000=A17)*10_Data_GSC!$I$6:$I$1000*10_Data_GSC!$G$6:$G$1000)/D17,0)</f>
        <v>11.8648426799007</v>
      </c>
      <c r="G17" s="29" t="n">
        <f aca="false">IF(F17="","",IF(F17&gt;20,00_Setup!$C$79,IFERROR(INDEX(00_Setup!$C$59:$C$78,MATCH(MAX(1,ROUND(F17,0)),00_Setup!$B$59:$B$78,0)),00_Setup!$C$79)))</f>
        <v>0.021</v>
      </c>
      <c r="H17" s="65" t="n">
        <f aca="false">MAX(0,D17*G17-C17)</f>
        <v>177.15</v>
      </c>
      <c r="I17" s="65" t="n">
        <f aca="false">IFERROR(INDEX($E$7:$E$10,MATCH(B17,$A$7:$A$10,0)),0)</f>
        <v>0.0258152173913043</v>
      </c>
      <c r="J17" s="65" t="n">
        <f aca="false">H17*I17</f>
        <v>4.57316576086957</v>
      </c>
      <c r="K17" s="57" t="str">
        <f aca="false">IF(M17&gt;=400,"High",IF(M17&gt;=100,"Medium","Low"))</f>
        <v>Medium</v>
      </c>
      <c r="L17" s="7" t="str">
        <f aca="false">IF(F17&lt;=10,"Improve CTR / push Top 3","Improve content and authority")</f>
        <v>Improve content and authority</v>
      </c>
      <c r="M17" s="66" t="n">
        <f aca="false">IFERROR(ROUND(H17*IF(F17&lt;=3,00_Setup!$C$84,IF(F17&lt;=10,00_Setup!$C$85,IF(F17&lt;=20,00_Setup!$C$86,00_Setup!$C$87))),0),0)</f>
        <v>177</v>
      </c>
      <c r="N17" s="3"/>
      <c r="O17" s="3"/>
      <c r="P17" s="3"/>
    </row>
    <row r="18" customFormat="fals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customFormat="false" ht="60" hidden="false" customHeight="true" outlineLevel="0" collapsed="false">
      <c r="A19" s="39" t="s">
        <v>854</v>
      </c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"/>
      <c r="O19" s="3"/>
      <c r="P19" s="3"/>
    </row>
    <row r="20" customFormat="false" ht="1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customFormat="false" ht="15.7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customFormat="false" ht="15.7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customFormat="false" ht="15.75" hidden="false" customHeight="tru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customFormat="false" ht="15.7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customFormat="false" ht="15.75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customFormat="false" ht="15.75" hidden="false" customHeight="tru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customFormat="false" ht="15.75" hidden="false" customHeight="tru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customFormat="false" ht="15.75" hidden="false" customHeight="tru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customFormat="false" ht="15.75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customFormat="false" ht="15.7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customFormat="false" ht="15.7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customFormat="false" ht="15.75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customFormat="false" ht="15.7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customFormat="false" ht="15.75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customFormat="false" ht="15.7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customFormat="false" ht="15.7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customFormat="false" ht="15.7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customFormat="false" ht="15.7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customFormat="false" ht="15.7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customFormat="false" ht="15.7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customFormat="false" ht="15.7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customFormat="false" ht="15.7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customFormat="false" ht="15.7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customFormat="false" ht="15.7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customFormat="false" ht="15.7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customFormat="false" ht="15.7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customFormat="false" ht="15.7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customFormat="false" ht="15.7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customFormat="false" ht="15.7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 customFormat="false" ht="15.7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customFormat="false" ht="15.7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customFormat="false" ht="15.7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customFormat="false" ht="15.7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customFormat="false" ht="15.7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customFormat="false" ht="15.7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customFormat="false" ht="15.7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customFormat="false" ht="15.7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customFormat="false" ht="15.7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customFormat="false" ht="15.7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customFormat="false" ht="15.7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 customFormat="false" ht="15.7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customFormat="false" ht="15.7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 customFormat="false" ht="15.7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 customFormat="false" ht="15.7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</row>
    <row r="65" customFormat="false" ht="15.7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customFormat="false" ht="15.7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 customFormat="false" ht="15.7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customFormat="false" ht="15.7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</row>
    <row r="69" customFormat="false" ht="15.7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customFormat="false" ht="15.7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customFormat="false" ht="15.7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customFormat="false" ht="15.7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customFormat="false" ht="15.7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</row>
    <row r="74" customFormat="false" ht="15.7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 customFormat="false" ht="15.7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</row>
    <row r="76" customFormat="false" ht="15.7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</row>
    <row r="77" customFormat="false" ht="15.7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</row>
    <row r="78" customFormat="false" ht="15.7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customFormat="false" ht="15.7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</row>
    <row r="80" customFormat="false" ht="15.7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</row>
    <row r="81" customFormat="false" ht="15.7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customFormat="false" ht="15.7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customFormat="false" ht="15.7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</row>
    <row r="84" customFormat="false" ht="15.7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</row>
    <row r="85" customFormat="false" ht="15.7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customFormat="false" ht="15.7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</row>
    <row r="87" customFormat="false" ht="15.7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</row>
    <row r="88" customFormat="false" ht="15.7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</row>
    <row r="89" customFormat="false" ht="15.7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</row>
    <row r="90" customFormat="false" ht="15.7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customFormat="false" ht="15.7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</row>
    <row r="92" customFormat="false" ht="15.7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customFormat="false" ht="15.7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</row>
    <row r="94" customFormat="false" ht="15.7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</row>
    <row r="95" customFormat="false" ht="15.7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customFormat="false" ht="15.7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</row>
    <row r="97" customFormat="false" ht="15.7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</row>
    <row r="98" customFormat="false" ht="15.7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</row>
    <row r="99" customFormat="false" ht="15.7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</row>
    <row r="100" customFormat="false" ht="15.7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</row>
    <row r="101" customFormat="false" ht="15.7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</row>
    <row r="102" customFormat="false" ht="15.7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</row>
    <row r="103" customFormat="false" ht="15.7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</row>
    <row r="104" customFormat="false" ht="15.7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customFormat="false" ht="15.7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</row>
    <row r="106" customFormat="false" ht="15.7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</row>
    <row r="107" customFormat="false" ht="15.7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</row>
    <row r="108" customFormat="false" ht="15.7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</row>
    <row r="109" customFormat="false" ht="15.7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</row>
    <row r="110" customFormat="false" ht="15.7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</row>
    <row r="111" customFormat="false" ht="15.7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</row>
    <row r="112" customFormat="false" ht="15.7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</row>
    <row r="113" customFormat="false" ht="15.7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</row>
    <row r="114" customFormat="false" ht="15.7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</row>
    <row r="115" customFormat="false" ht="15.7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</row>
    <row r="116" customFormat="false" ht="15.7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</row>
    <row r="117" customFormat="false" ht="15.7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</row>
    <row r="118" customFormat="false" ht="15.7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</row>
    <row r="119" customFormat="false" ht="15.7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</row>
    <row r="120" customFormat="false" ht="15.7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</row>
    <row r="121" customFormat="false" ht="15.7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</row>
    <row r="122" customFormat="false" ht="15.7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</row>
    <row r="123" customFormat="false" ht="15.7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</row>
    <row r="124" customFormat="false" ht="15.7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</row>
    <row r="125" customFormat="false" ht="15.7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</row>
    <row r="126" customFormat="false" ht="15.7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</row>
    <row r="127" customFormat="false" ht="15.7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</row>
    <row r="128" customFormat="false" ht="15.7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</row>
    <row r="129" customFormat="false" ht="15.7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</row>
    <row r="130" customFormat="false" ht="15.7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</row>
    <row r="131" customFormat="false" ht="15.7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</row>
    <row r="132" customFormat="false" ht="15.7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</row>
    <row r="133" customFormat="false" ht="15.7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</row>
    <row r="134" customFormat="false" ht="15.7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</row>
    <row r="135" customFormat="false" ht="15.7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</row>
    <row r="136" customFormat="false" ht="15.7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</row>
    <row r="137" customFormat="false" ht="15.7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</row>
    <row r="138" customFormat="false" ht="15.7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</row>
    <row r="139" customFormat="false" ht="15.7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</row>
    <row r="140" customFormat="false" ht="15.7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</row>
    <row r="141" customFormat="false" ht="15.7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</row>
    <row r="142" customFormat="false" ht="15.7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</row>
    <row r="143" customFormat="false" ht="15.7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</row>
    <row r="144" customFormat="false" ht="15.7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</row>
    <row r="145" customFormat="false" ht="15.7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</row>
    <row r="146" customFormat="false" ht="15.7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</row>
    <row r="147" customFormat="false" ht="15.7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</row>
    <row r="148" customFormat="false" ht="15.7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</row>
    <row r="149" customFormat="false" ht="15.7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</row>
    <row r="150" customFormat="false" ht="15.7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</row>
    <row r="151" customFormat="false" ht="15.7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</row>
    <row r="152" customFormat="false" ht="15.7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</row>
    <row r="153" customFormat="false" ht="15.7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</row>
    <row r="154" customFormat="false" ht="15.7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</row>
    <row r="155" customFormat="false" ht="15.7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</row>
    <row r="156" customFormat="false" ht="15.7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</row>
    <row r="157" customFormat="false" ht="15.7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</row>
    <row r="158" customFormat="false" ht="15.7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</row>
    <row r="159" customFormat="false" ht="15.7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</row>
    <row r="160" customFormat="false" ht="15.7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</row>
    <row r="161" customFormat="false" ht="15.7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</row>
    <row r="162" customFormat="false" ht="15.7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</row>
    <row r="163" customFormat="false" ht="15.7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</row>
    <row r="164" customFormat="false" ht="15.7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</row>
    <row r="165" customFormat="false" ht="15.7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</row>
    <row r="166" customFormat="false" ht="15.7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</row>
    <row r="167" customFormat="false" ht="15.7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</row>
    <row r="168" customFormat="false" ht="15.7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</row>
    <row r="169" customFormat="false" ht="15.7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</row>
    <row r="170" customFormat="false" ht="15.7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</row>
    <row r="171" customFormat="false" ht="15.7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</row>
    <row r="172" customFormat="false" ht="15.7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</row>
    <row r="173" customFormat="false" ht="15.7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</row>
    <row r="174" customFormat="false" ht="15.7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</row>
    <row r="175" customFormat="false" ht="15.7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</row>
    <row r="176" customFormat="false" ht="15.7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</row>
    <row r="177" customFormat="false" ht="15.7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</row>
    <row r="178" customFormat="false" ht="15.7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</row>
    <row r="179" customFormat="false" ht="15.7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</row>
    <row r="180" customFormat="false" ht="15.7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</row>
    <row r="181" customFormat="false" ht="15.7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</row>
    <row r="182" customFormat="false" ht="15.7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</row>
    <row r="183" customFormat="false" ht="15.7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</row>
    <row r="184" customFormat="false" ht="15.7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</row>
    <row r="185" customFormat="false" ht="15.7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</row>
    <row r="186" customFormat="false" ht="15.7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</row>
    <row r="187" customFormat="false" ht="15.7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</row>
    <row r="188" customFormat="false" ht="15.7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</row>
    <row r="189" customFormat="false" ht="15.7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</row>
    <row r="190" customFormat="false" ht="15.7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</row>
    <row r="191" customFormat="false" ht="15.7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</row>
    <row r="192" customFormat="false" ht="15.7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</row>
    <row r="193" customFormat="false" ht="15.7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</row>
    <row r="194" customFormat="false" ht="15.7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</row>
    <row r="195" customFormat="false" ht="15.7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</row>
    <row r="196" customFormat="false" ht="15.7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</row>
    <row r="197" customFormat="false" ht="15.7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</row>
    <row r="198" customFormat="false" ht="15.7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</row>
    <row r="199" customFormat="false" ht="15.7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</row>
    <row r="200" customFormat="false" ht="15.7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</row>
    <row r="201" customFormat="false" ht="15.7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</row>
    <row r="202" customFormat="false" ht="15.7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</row>
    <row r="203" customFormat="false" ht="15.7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</row>
    <row r="204" customFormat="false" ht="15.7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</row>
    <row r="205" customFormat="false" ht="15.7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</row>
    <row r="206" customFormat="false" ht="15.7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</row>
    <row r="207" customFormat="false" ht="15.7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</row>
    <row r="208" customFormat="false" ht="15.7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</row>
    <row r="209" customFormat="false" ht="15.7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</row>
    <row r="210" customFormat="false" ht="15.7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</row>
    <row r="211" customFormat="false" ht="15.7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</row>
    <row r="212" customFormat="false" ht="15.7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</row>
    <row r="213" customFormat="false" ht="15.7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</row>
    <row r="214" customFormat="false" ht="15.7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</row>
    <row r="215" customFormat="false" ht="15.7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</row>
    <row r="216" customFormat="false" ht="15.7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</row>
    <row r="217" customFormat="false" ht="15.7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</row>
    <row r="218" customFormat="false" ht="15.7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</row>
    <row r="219" customFormat="false" ht="15.7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</row>
    <row r="220" customFormat="false" ht="15.7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</row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5">
    <mergeCell ref="A1:L2"/>
    <mergeCell ref="A3:L3"/>
    <mergeCell ref="A5:L5"/>
    <mergeCell ref="A12:L12"/>
    <mergeCell ref="A19:M1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7" min="2" style="1" width="14"/>
    <col collapsed="false" customWidth="true" hidden="false" outlineLevel="0" max="10" min="8" style="1" width="16"/>
    <col collapsed="false" customWidth="true" hidden="false" outlineLevel="0" max="11" min="11" style="1" width="24"/>
    <col collapsed="false" customWidth="true" hidden="false" outlineLevel="0" max="12" min="12" style="1" width="22"/>
    <col collapsed="false" customWidth="true" hidden="false" outlineLevel="0" max="26" min="13" style="1" width="8.63"/>
  </cols>
  <sheetData>
    <row r="1" customFormat="false" ht="15" hidden="false" customHeight="true" outlineLevel="0" collapsed="false">
      <c r="A1" s="2" t="s">
        <v>855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3"/>
      <c r="P1" s="3"/>
    </row>
    <row r="2" customFormat="false" ht="1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3"/>
      <c r="O2" s="3"/>
      <c r="P2" s="3"/>
    </row>
    <row r="3" customFormat="false" ht="15" hidden="false" customHeight="true" outlineLevel="0" collapsed="false">
      <c r="A3" s="4" t="s">
        <v>856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3"/>
      <c r="N3" s="3"/>
      <c r="O3" s="3"/>
      <c r="P3" s="3"/>
    </row>
    <row r="4" customFormat="false" ht="15" hidden="false" customHeight="tru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customFormat="false" ht="15" hidden="false" customHeight="true" outlineLevel="0" collapsed="false">
      <c r="A5" s="5" t="s">
        <v>857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3"/>
      <c r="N5" s="3"/>
      <c r="O5" s="3"/>
      <c r="P5" s="3"/>
    </row>
    <row r="6" customFormat="false" ht="23.25" hidden="false" customHeight="true" outlineLevel="0" collapsed="false">
      <c r="A6" s="21" t="s">
        <v>858</v>
      </c>
      <c r="B6" s="21" t="s">
        <v>859</v>
      </c>
      <c r="C6" s="21" t="s">
        <v>860</v>
      </c>
      <c r="D6" s="21" t="s">
        <v>861</v>
      </c>
      <c r="E6" s="21" t="s">
        <v>712</v>
      </c>
      <c r="F6" s="21" t="s">
        <v>847</v>
      </c>
      <c r="G6" s="21" t="s">
        <v>171</v>
      </c>
      <c r="H6" s="21" t="s">
        <v>862</v>
      </c>
      <c r="I6" s="21" t="s">
        <v>863</v>
      </c>
      <c r="J6" s="12" t="s">
        <v>864</v>
      </c>
      <c r="K6" s="12" t="s">
        <v>865</v>
      </c>
      <c r="L6" s="3"/>
      <c r="M6" s="3"/>
      <c r="N6" s="3"/>
      <c r="O6" s="3"/>
      <c r="P6" s="3"/>
    </row>
    <row r="7" customFormat="false" ht="15" hidden="false" customHeight="true" outlineLevel="0" collapsed="false">
      <c r="A7" s="7" t="s">
        <v>162</v>
      </c>
      <c r="B7" s="7" t="n">
        <f aca="false">SUMIFS(09_Data_GA4!$I:$I,09_Data_GA4!$A:$A,"&gt;="&amp;00_Setup!$C$14,09_Data_GA4!$A:$A,"&lt;="&amp;00_Setup!$C$15,09_Data_GA4!$B:$B,A7)</f>
        <v>1467</v>
      </c>
      <c r="C7" s="7" t="n">
        <f aca="false">SUMIFS(09_Data_GA4!$I:$I,09_Data_GA4!$A:$A,"&gt;="&amp;00_Setup!$C$16,09_Data_GA4!$A:$A,"&lt;="&amp;00_Setup!$C$17,09_Data_GA4!$B:$B,A7)</f>
        <v>1369</v>
      </c>
      <c r="D7" s="27" t="n">
        <f aca="false">IF(C7=0,0,B7/C7-1)</f>
        <v>0.0715850986121256</v>
      </c>
      <c r="E7" s="27" t="n">
        <f aca="false">COUNTIFS(11_Data_Conversions!$B:$B,"&gt;="&amp;00_Setup!$C$14,11_Data_Conversions!$B:$B,"&lt;="&amp;00_Setup!$C$15,11_Data_Conversions!$C:$C,A7)</f>
        <v>35</v>
      </c>
      <c r="F7" s="27" t="n">
        <f aca="false">IF(B7=0,0,E7/B7)</f>
        <v>0.0238582140422631</v>
      </c>
      <c r="G7" s="27" t="n">
        <f aca="false">SUMIFS(10_Data_GSC!$F:$F,10_Data_GSC!$A:$A,"&gt;="&amp;00_Setup!$C$14,10_Data_GSC!$A:$A,"&lt;="&amp;00_Setup!$C$15,10_Data_GSC!$C:$C,A7)</f>
        <v>240</v>
      </c>
      <c r="H7" s="27" t="n">
        <f aca="false">IF(08_AI_Input!B14=0,0,E7/08_AI_Input!B14)</f>
        <v>0.257352941176471</v>
      </c>
      <c r="I7" s="7" t="str">
        <f aca="false">IF(AND(C7&gt;=300,D7&lt;=-0.2),"Decay","Healthy")</f>
        <v>Healthy</v>
      </c>
      <c r="J7" s="60" t="str">
        <f aca="false">IFERROR(INDEX(12_Data_SEO_Tools!$H:$H,MATCH(1,(12_Data_SEO_Tools!$A:$A=00_Setup!$C$15)*(12_Data_SEO_Tools!$D:$D=A7)*(12_Data_SEO_Tools!$B:$B="Keyword"),0))&amp;" -&gt; "&amp;INDEX(12_Data_SEO_Tools!$G:$G,MATCH(1,(12_Data_SEO_Tools!$A:$A=00_Setup!$C$15)*(12_Data_SEO_Tools!$D:$D=A7)*(12_Data_SEO_Tools!$B:$B="Keyword"),0)),"n/a")</f>
        <v>11 -&gt; 8</v>
      </c>
      <c r="K7" s="60" t="str">
        <f aca="false">IFERROR(IF(INDEX(12_Data_SEO_Tools!$G:$G,MATCH(1,(12_Data_SEO_Tools!$A:$A=00_Setup!$C$15)*(12_Data_SEO_Tools!$D:$D=A7)*(12_Data_SEO_Tools!$B:$B="Keyword"),0))&gt;INDEX(12_Data_SEO_Tools!$H:$H,MATCH(1,(12_Data_SEO_Tools!$A:$A=00_Setup!$C$15)*(12_Data_SEO_Tools!$D:$D=A7)*(12_Data_SEO_Tools!$B:$B="Keyword"),0)),"Rank Watch -- position slipping","Rank Stable/Improving"),"n/a")</f>
        <v>Rank Stable/Improving</v>
      </c>
      <c r="L7" s="3"/>
      <c r="M7" s="3"/>
      <c r="N7" s="3"/>
      <c r="O7" s="3"/>
      <c r="P7" s="3"/>
    </row>
    <row r="8" customFormat="false" ht="15" hidden="false" customHeight="true" outlineLevel="0" collapsed="false">
      <c r="A8" s="7" t="s">
        <v>163</v>
      </c>
      <c r="B8" s="7" t="n">
        <f aca="false">SUMIFS(09_Data_GA4!$I:$I,09_Data_GA4!$A:$A,"&gt;="&amp;00_Setup!$C$14,09_Data_GA4!$A:$A,"&lt;="&amp;00_Setup!$C$15,09_Data_GA4!$B:$B,A8)</f>
        <v>1472</v>
      </c>
      <c r="C8" s="7" t="n">
        <f aca="false">SUMIFS(09_Data_GA4!$I:$I,09_Data_GA4!$A:$A,"&gt;="&amp;00_Setup!$C$16,09_Data_GA4!$A:$A,"&lt;="&amp;00_Setup!$C$17,09_Data_GA4!$B:$B,A8)</f>
        <v>1385</v>
      </c>
      <c r="D8" s="27" t="n">
        <f aca="false">IF(C8=0,0,B8/C8-1)</f>
        <v>0.0628158844765343</v>
      </c>
      <c r="E8" s="27" t="n">
        <f aca="false">COUNTIFS(11_Data_Conversions!$B:$B,"&gt;="&amp;00_Setup!$C$14,11_Data_Conversions!$B:$B,"&lt;="&amp;00_Setup!$C$15,11_Data_Conversions!$C:$C,A8)</f>
        <v>38</v>
      </c>
      <c r="F8" s="27" t="n">
        <f aca="false">IF(B8=0,0,E8/B8)</f>
        <v>0.0258152173913043</v>
      </c>
      <c r="G8" s="27" t="n">
        <f aca="false">SUMIFS(10_Data_GSC!$F:$F,10_Data_GSC!$A:$A,"&gt;="&amp;00_Setup!$C$14,10_Data_GSC!$A:$A,"&lt;="&amp;00_Setup!$C$15,10_Data_GSC!$C:$C,A8)</f>
        <v>246</v>
      </c>
      <c r="H8" s="27" t="n">
        <f aca="false">IF(08_AI_Input!B14=0,0,E8/08_AI_Input!B14)</f>
        <v>0.279411764705882</v>
      </c>
      <c r="I8" s="7" t="str">
        <f aca="false">IF(AND(C8&gt;=300,D8&lt;=-0.2),"Decay","Healthy")</f>
        <v>Healthy</v>
      </c>
      <c r="J8" s="60" t="str">
        <f aca="false">IFERROR(INDEX(12_Data_SEO_Tools!$H:$H,MATCH(1,(12_Data_SEO_Tools!$A:$A=00_Setup!$C$15)*(12_Data_SEO_Tools!$D:$D=A8)*(12_Data_SEO_Tools!$B:$B="Keyword"),0))&amp;" -&gt; "&amp;INDEX(12_Data_SEO_Tools!$G:$G,MATCH(1,(12_Data_SEO_Tools!$A:$A=00_Setup!$C$15)*(12_Data_SEO_Tools!$D:$D=A8)*(12_Data_SEO_Tools!$B:$B="Keyword"),0)),"n/a")</f>
        <v>10 -&gt; 12</v>
      </c>
      <c r="K8" s="60" t="str">
        <f aca="false">IFERROR(IF(INDEX(12_Data_SEO_Tools!$G:$G,MATCH(1,(12_Data_SEO_Tools!$A:$A=00_Setup!$C$15)*(12_Data_SEO_Tools!$D:$D=A8)*(12_Data_SEO_Tools!$B:$B="Keyword"),0))&gt;INDEX(12_Data_SEO_Tools!$H:$H,MATCH(1,(12_Data_SEO_Tools!$A:$A=00_Setup!$C$15)*(12_Data_SEO_Tools!$D:$D=A8)*(12_Data_SEO_Tools!$B:$B="Keyword"),0)),"Rank Watch -- position slipping","Rank Stable/Improving"),"n/a")</f>
        <v>Rank Watch -- position slipping</v>
      </c>
      <c r="L8" s="3"/>
      <c r="M8" s="3"/>
      <c r="N8" s="3"/>
      <c r="O8" s="3"/>
      <c r="P8" s="3"/>
    </row>
    <row r="9" customFormat="false" ht="15" hidden="false" customHeight="tru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customFormat="false" ht="15" hidden="false" customHeight="true" outlineLevel="0" collapsed="false">
      <c r="A10" s="5" t="s">
        <v>866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3"/>
      <c r="N10" s="3"/>
      <c r="O10" s="3"/>
      <c r="P10" s="3"/>
    </row>
    <row r="11" customFormat="false" ht="27.75" hidden="false" customHeight="true" outlineLevel="0" collapsed="false">
      <c r="A11" s="6" t="s">
        <v>867</v>
      </c>
      <c r="B11" s="6" t="s">
        <v>176</v>
      </c>
      <c r="C11" s="6" t="s">
        <v>868</v>
      </c>
      <c r="D11" s="6" t="s">
        <v>869</v>
      </c>
      <c r="E11" s="6" t="s">
        <v>80</v>
      </c>
      <c r="F11" s="6" t="s">
        <v>81</v>
      </c>
      <c r="G11" s="6" t="s">
        <v>753</v>
      </c>
      <c r="H11" s="6" t="s">
        <v>79</v>
      </c>
      <c r="I11" s="3"/>
      <c r="J11" s="3"/>
      <c r="K11" s="3"/>
      <c r="L11" s="3"/>
      <c r="M11" s="3"/>
      <c r="N11" s="3"/>
      <c r="O11" s="3"/>
      <c r="P11" s="3"/>
    </row>
    <row r="12" customFormat="false" ht="23.25" hidden="false" customHeight="true" outlineLevel="0" collapsed="false">
      <c r="A12" s="7" t="s">
        <v>870</v>
      </c>
      <c r="B12" s="7" t="s">
        <v>183</v>
      </c>
      <c r="C12" s="7" t="s">
        <v>182</v>
      </c>
      <c r="D12" s="7" t="s">
        <v>871</v>
      </c>
      <c r="E12" s="7" t="s">
        <v>90</v>
      </c>
      <c r="F12" s="7" t="s">
        <v>91</v>
      </c>
      <c r="G12" s="8" t="n">
        <v>46215</v>
      </c>
      <c r="H12" s="7" t="s">
        <v>108</v>
      </c>
      <c r="I12" s="3"/>
      <c r="J12" s="3"/>
      <c r="K12" s="3"/>
      <c r="L12" s="3"/>
      <c r="M12" s="3"/>
      <c r="N12" s="3"/>
      <c r="O12" s="3"/>
      <c r="P12" s="3"/>
    </row>
    <row r="13" customFormat="false" ht="15" hidden="false" customHeight="true" outlineLevel="0" collapsed="false">
      <c r="A13" s="7" t="s">
        <v>872</v>
      </c>
      <c r="B13" s="7" t="s">
        <v>190</v>
      </c>
      <c r="C13" s="7" t="s">
        <v>187</v>
      </c>
      <c r="D13" s="7" t="s">
        <v>873</v>
      </c>
      <c r="E13" s="7" t="s">
        <v>90</v>
      </c>
      <c r="F13" s="7" t="s">
        <v>91</v>
      </c>
      <c r="G13" s="8" t="n">
        <v>46218</v>
      </c>
      <c r="H13" s="7" t="s">
        <v>104</v>
      </c>
      <c r="I13" s="3"/>
      <c r="J13" s="3"/>
      <c r="K13" s="3"/>
      <c r="L13" s="3"/>
      <c r="M13" s="3"/>
      <c r="N13" s="3"/>
      <c r="O13" s="3"/>
      <c r="P13" s="3"/>
    </row>
    <row r="14" customFormat="false" ht="23.25" hidden="false" customHeight="true" outlineLevel="0" collapsed="false">
      <c r="A14" s="7" t="s">
        <v>874</v>
      </c>
      <c r="B14" s="7" t="s">
        <v>185</v>
      </c>
      <c r="C14" s="7" t="s">
        <v>182</v>
      </c>
      <c r="D14" s="7" t="s">
        <v>875</v>
      </c>
      <c r="E14" s="7" t="s">
        <v>90</v>
      </c>
      <c r="F14" s="7" t="s">
        <v>86</v>
      </c>
      <c r="G14" s="8" t="n">
        <v>46213</v>
      </c>
      <c r="H14" s="7" t="s">
        <v>108</v>
      </c>
      <c r="I14" s="3"/>
      <c r="J14" s="3"/>
      <c r="K14" s="3"/>
      <c r="L14" s="3"/>
      <c r="M14" s="3"/>
      <c r="N14" s="3"/>
      <c r="O14" s="3"/>
      <c r="P14" s="3"/>
    </row>
    <row r="15" customFormat="false" ht="15" hidden="false" customHeight="tru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customFormat="false" ht="31.5" hidden="false" customHeight="true" outlineLevel="0" collapsed="false">
      <c r="A16" s="39" t="s">
        <v>876</v>
      </c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"/>
      <c r="M16" s="3"/>
      <c r="N16" s="3"/>
      <c r="O16" s="3"/>
      <c r="P16" s="3"/>
    </row>
    <row r="17" customFormat="false" ht="15" hidden="false" customHeight="tru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customFormat="fals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customFormat="false" ht="15" hidden="false" customHeight="tru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customFormat="false" ht="1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customFormat="false" ht="15.7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customFormat="false" ht="15.7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customFormat="false" ht="15.75" hidden="false" customHeight="tru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customFormat="false" ht="15.7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customFormat="false" ht="15.75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customFormat="false" ht="15.75" hidden="false" customHeight="tru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customFormat="false" ht="15.75" hidden="false" customHeight="tru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customFormat="false" ht="15.75" hidden="false" customHeight="tru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customFormat="false" ht="15.75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customFormat="false" ht="15.7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customFormat="false" ht="15.7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customFormat="false" ht="15.75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customFormat="false" ht="15.7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customFormat="false" ht="15.75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customFormat="false" ht="15.7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customFormat="false" ht="15.7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customFormat="false" ht="15.7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customFormat="false" ht="15.7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customFormat="false" ht="15.7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customFormat="false" ht="15.7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customFormat="false" ht="15.7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customFormat="false" ht="15.7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customFormat="false" ht="15.7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customFormat="false" ht="15.7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customFormat="false" ht="15.7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customFormat="false" ht="15.7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customFormat="false" ht="15.7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customFormat="false" ht="15.7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customFormat="false" ht="15.7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 customFormat="false" ht="15.7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customFormat="false" ht="15.7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customFormat="false" ht="15.7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customFormat="false" ht="15.7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customFormat="false" ht="15.7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customFormat="false" ht="15.7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customFormat="false" ht="15.7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customFormat="false" ht="15.7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customFormat="false" ht="15.7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customFormat="false" ht="15.7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customFormat="false" ht="15.7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 customFormat="false" ht="15.7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customFormat="false" ht="15.7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 customFormat="false" ht="15.7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 customFormat="false" ht="15.7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</row>
    <row r="65" customFormat="false" ht="15.7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customFormat="false" ht="15.7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 customFormat="false" ht="15.7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customFormat="false" ht="15.7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</row>
    <row r="69" customFormat="false" ht="15.7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customFormat="false" ht="15.7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customFormat="false" ht="15.7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customFormat="false" ht="15.7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customFormat="false" ht="15.7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</row>
    <row r="74" customFormat="false" ht="15.7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 customFormat="false" ht="15.7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</row>
    <row r="76" customFormat="false" ht="15.7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</row>
    <row r="77" customFormat="false" ht="15.7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</row>
    <row r="78" customFormat="false" ht="15.7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customFormat="false" ht="15.7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</row>
    <row r="80" customFormat="false" ht="15.7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</row>
    <row r="81" customFormat="false" ht="15.7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customFormat="false" ht="15.7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customFormat="false" ht="15.7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</row>
    <row r="84" customFormat="false" ht="15.7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</row>
    <row r="85" customFormat="false" ht="15.7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customFormat="false" ht="15.7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</row>
    <row r="87" customFormat="false" ht="15.7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</row>
    <row r="88" customFormat="false" ht="15.7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</row>
    <row r="89" customFormat="false" ht="15.7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</row>
    <row r="90" customFormat="false" ht="15.7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customFormat="false" ht="15.7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</row>
    <row r="92" customFormat="false" ht="15.7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customFormat="false" ht="15.7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</row>
    <row r="94" customFormat="false" ht="15.7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</row>
    <row r="95" customFormat="false" ht="15.7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customFormat="false" ht="15.7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</row>
    <row r="97" customFormat="false" ht="15.7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</row>
    <row r="98" customFormat="false" ht="15.7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</row>
    <row r="99" customFormat="false" ht="15.7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</row>
    <row r="100" customFormat="false" ht="15.7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</row>
    <row r="101" customFormat="false" ht="15.7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</row>
    <row r="102" customFormat="false" ht="15.7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</row>
    <row r="103" customFormat="false" ht="15.7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</row>
    <row r="104" customFormat="false" ht="15.7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customFormat="false" ht="15.7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</row>
    <row r="106" customFormat="false" ht="15.7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</row>
    <row r="107" customFormat="false" ht="15.7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</row>
    <row r="108" customFormat="false" ht="15.7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</row>
    <row r="109" customFormat="false" ht="15.7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</row>
    <row r="110" customFormat="false" ht="15.7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</row>
    <row r="111" customFormat="false" ht="15.7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</row>
    <row r="112" customFormat="false" ht="15.7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</row>
    <row r="113" customFormat="false" ht="15.7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</row>
    <row r="114" customFormat="false" ht="15.7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</row>
    <row r="115" customFormat="false" ht="15.7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</row>
    <row r="116" customFormat="false" ht="15.7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</row>
    <row r="117" customFormat="false" ht="15.7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</row>
    <row r="118" customFormat="false" ht="15.7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</row>
    <row r="119" customFormat="false" ht="15.7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</row>
    <row r="120" customFormat="false" ht="15.7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</row>
    <row r="121" customFormat="false" ht="15.7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</row>
    <row r="122" customFormat="false" ht="15.7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</row>
    <row r="123" customFormat="false" ht="15.7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</row>
    <row r="124" customFormat="false" ht="15.7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</row>
    <row r="125" customFormat="false" ht="15.7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</row>
    <row r="126" customFormat="false" ht="15.7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</row>
    <row r="127" customFormat="false" ht="15.7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</row>
    <row r="128" customFormat="false" ht="15.7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</row>
    <row r="129" customFormat="false" ht="15.7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</row>
    <row r="130" customFormat="false" ht="15.7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</row>
    <row r="131" customFormat="false" ht="15.7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</row>
    <row r="132" customFormat="false" ht="15.7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</row>
    <row r="133" customFormat="false" ht="15.7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</row>
    <row r="134" customFormat="false" ht="15.7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</row>
    <row r="135" customFormat="false" ht="15.7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</row>
    <row r="136" customFormat="false" ht="15.7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</row>
    <row r="137" customFormat="false" ht="15.7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</row>
    <row r="138" customFormat="false" ht="15.7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</row>
    <row r="139" customFormat="false" ht="15.7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</row>
    <row r="140" customFormat="false" ht="15.7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</row>
    <row r="141" customFormat="false" ht="15.7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</row>
    <row r="142" customFormat="false" ht="15.7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</row>
    <row r="143" customFormat="false" ht="15.7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</row>
    <row r="144" customFormat="false" ht="15.7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</row>
    <row r="145" customFormat="false" ht="15.7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</row>
    <row r="146" customFormat="false" ht="15.7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</row>
    <row r="147" customFormat="false" ht="15.7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</row>
    <row r="148" customFormat="false" ht="15.7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</row>
    <row r="149" customFormat="false" ht="15.7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</row>
    <row r="150" customFormat="false" ht="15.7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</row>
    <row r="151" customFormat="false" ht="15.7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</row>
    <row r="152" customFormat="false" ht="15.7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</row>
    <row r="153" customFormat="false" ht="15.7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</row>
    <row r="154" customFormat="false" ht="15.7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</row>
    <row r="155" customFormat="false" ht="15.7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</row>
    <row r="156" customFormat="false" ht="15.7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</row>
    <row r="157" customFormat="false" ht="15.7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</row>
    <row r="158" customFormat="false" ht="15.7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</row>
    <row r="159" customFormat="false" ht="15.7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</row>
    <row r="160" customFormat="false" ht="15.7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</row>
    <row r="161" customFormat="false" ht="15.7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</row>
    <row r="162" customFormat="false" ht="15.7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</row>
    <row r="163" customFormat="false" ht="15.7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</row>
    <row r="164" customFormat="false" ht="15.7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</row>
    <row r="165" customFormat="false" ht="15.7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</row>
    <row r="166" customFormat="false" ht="15.7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</row>
    <row r="167" customFormat="false" ht="15.7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</row>
    <row r="168" customFormat="false" ht="15.7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</row>
    <row r="169" customFormat="false" ht="15.7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</row>
    <row r="170" customFormat="false" ht="15.7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</row>
    <row r="171" customFormat="false" ht="15.7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</row>
    <row r="172" customFormat="false" ht="15.7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</row>
    <row r="173" customFormat="false" ht="15.7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</row>
    <row r="174" customFormat="false" ht="15.7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</row>
    <row r="175" customFormat="false" ht="15.7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</row>
    <row r="176" customFormat="false" ht="15.7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</row>
    <row r="177" customFormat="false" ht="15.7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</row>
    <row r="178" customFormat="false" ht="15.7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</row>
    <row r="179" customFormat="false" ht="15.7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</row>
    <row r="180" customFormat="false" ht="15.7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</row>
    <row r="181" customFormat="false" ht="15.7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</row>
    <row r="182" customFormat="false" ht="15.7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</row>
    <row r="183" customFormat="false" ht="15.7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</row>
    <row r="184" customFormat="false" ht="15.7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</row>
    <row r="185" customFormat="false" ht="15.7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</row>
    <row r="186" customFormat="false" ht="15.7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</row>
    <row r="187" customFormat="false" ht="15.7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</row>
    <row r="188" customFormat="false" ht="15.7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</row>
    <row r="189" customFormat="false" ht="15.7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</row>
    <row r="190" customFormat="false" ht="15.7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</row>
    <row r="191" customFormat="false" ht="15.7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</row>
    <row r="192" customFormat="false" ht="15.7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</row>
    <row r="193" customFormat="false" ht="15.7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</row>
    <row r="194" customFormat="false" ht="15.7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</row>
    <row r="195" customFormat="false" ht="15.7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</row>
    <row r="196" customFormat="false" ht="15.7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</row>
    <row r="197" customFormat="false" ht="15.7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</row>
    <row r="198" customFormat="false" ht="15.7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</row>
    <row r="199" customFormat="false" ht="15.7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</row>
    <row r="200" customFormat="false" ht="15.7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</row>
    <row r="201" customFormat="false" ht="15.7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</row>
    <row r="202" customFormat="false" ht="15.7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</row>
    <row r="203" customFormat="false" ht="15.7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</row>
    <row r="204" customFormat="false" ht="15.7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</row>
    <row r="205" customFormat="false" ht="15.7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</row>
    <row r="206" customFormat="false" ht="15.7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</row>
    <row r="207" customFormat="false" ht="15.7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</row>
    <row r="208" customFormat="false" ht="15.7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</row>
    <row r="209" customFormat="false" ht="15.7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</row>
    <row r="210" customFormat="false" ht="15.7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</row>
    <row r="211" customFormat="false" ht="15.7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</row>
    <row r="212" customFormat="false" ht="15.7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</row>
    <row r="213" customFormat="false" ht="15.7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</row>
    <row r="214" customFormat="false" ht="15.7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</row>
    <row r="215" customFormat="false" ht="15.7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</row>
    <row r="216" customFormat="false" ht="15.7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</row>
    <row r="217" customFormat="false" ht="15.7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</row>
    <row r="218" customFormat="false" ht="15.7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</row>
    <row r="219" customFormat="false" ht="15.7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</row>
    <row r="220" customFormat="false" ht="15.7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</row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5">
    <mergeCell ref="A1:L2"/>
    <mergeCell ref="A3:L3"/>
    <mergeCell ref="A5:L5"/>
    <mergeCell ref="A10:L10"/>
    <mergeCell ref="A16:K1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2" min="1" style="1" width="15"/>
    <col collapsed="false" customWidth="true" hidden="false" outlineLevel="0" max="26" min="13" style="1" width="8.63"/>
  </cols>
  <sheetData>
    <row r="1" customFormat="false" ht="15" hidden="false" customHeight="true" outlineLevel="0" collapsed="false">
      <c r="A1" s="2" t="s">
        <v>877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3"/>
      <c r="P1" s="3"/>
    </row>
    <row r="2" customFormat="false" ht="1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3"/>
      <c r="O2" s="3"/>
      <c r="P2" s="3"/>
    </row>
    <row r="3" customFormat="false" ht="15" hidden="false" customHeight="true" outlineLevel="0" collapsed="false">
      <c r="A3" s="4" t="s">
        <v>878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3"/>
      <c r="N3" s="3"/>
      <c r="O3" s="3"/>
      <c r="P3" s="3"/>
    </row>
    <row r="4" customFormat="false" ht="15" hidden="false" customHeight="tru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customFormat="false" ht="15" hidden="false" customHeight="true" outlineLevel="0" collapsed="false">
      <c r="A5" s="5" t="s">
        <v>879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3"/>
      <c r="N5" s="3"/>
      <c r="O5" s="3"/>
      <c r="P5" s="3"/>
    </row>
    <row r="6" customFormat="false" ht="23.25" hidden="false" customHeight="true" outlineLevel="0" collapsed="false">
      <c r="A6" s="21" t="s">
        <v>42</v>
      </c>
      <c r="B6" s="21" t="s">
        <v>704</v>
      </c>
      <c r="C6" s="21" t="s">
        <v>709</v>
      </c>
      <c r="D6" s="21" t="s">
        <v>880</v>
      </c>
      <c r="E6" s="21" t="s">
        <v>79</v>
      </c>
      <c r="F6" s="21" t="s">
        <v>881</v>
      </c>
      <c r="G6" s="21" t="s">
        <v>882</v>
      </c>
      <c r="H6" s="3"/>
      <c r="I6" s="3"/>
      <c r="J6" s="3"/>
      <c r="K6" s="3"/>
      <c r="L6" s="3"/>
      <c r="M6" s="3"/>
      <c r="N6" s="3"/>
      <c r="O6" s="3"/>
      <c r="P6" s="3"/>
    </row>
    <row r="7" customFormat="false" ht="34.5" hidden="false" customHeight="true" outlineLevel="0" collapsed="false">
      <c r="A7" s="7" t="s">
        <v>66</v>
      </c>
      <c r="B7" s="27" t="n">
        <f aca="false">08_AI_Input!B21</f>
        <v>0.975</v>
      </c>
      <c r="C7" s="27" t="n">
        <f aca="false">08_AI_Input!G21</f>
        <v>0.97</v>
      </c>
      <c r="D7" s="27" t="n">
        <f aca="false">B7-C7</f>
        <v>0.005</v>
      </c>
      <c r="E7" s="7" t="str">
        <f aca="false">08_AI_Input!I21</f>
        <v>On Track</v>
      </c>
      <c r="F7" s="7" t="s">
        <v>95</v>
      </c>
      <c r="G7" s="7" t="s">
        <v>883</v>
      </c>
      <c r="H7" s="3"/>
      <c r="I7" s="3"/>
      <c r="J7" s="3"/>
      <c r="K7" s="3"/>
      <c r="L7" s="3"/>
      <c r="M7" s="3"/>
      <c r="N7" s="3"/>
      <c r="O7" s="3"/>
      <c r="P7" s="3"/>
    </row>
    <row r="8" customFormat="false" ht="23.25" hidden="false" customHeight="true" outlineLevel="0" collapsed="false">
      <c r="A8" s="7" t="s">
        <v>70</v>
      </c>
      <c r="B8" s="27" t="n">
        <f aca="false">08_AI_Input!B22</f>
        <v>0.888888888888889</v>
      </c>
      <c r="C8" s="27" t="n">
        <f aca="false">08_AI_Input!G22</f>
        <v>0.9</v>
      </c>
      <c r="D8" s="27" t="n">
        <f aca="false">B8-C8</f>
        <v>-0.0111111111111112</v>
      </c>
      <c r="E8" s="7" t="str">
        <f aca="false">08_AI_Input!I22</f>
        <v>Watch</v>
      </c>
      <c r="F8" s="7" t="s">
        <v>90</v>
      </c>
      <c r="G8" s="7" t="s">
        <v>884</v>
      </c>
      <c r="H8" s="3"/>
      <c r="I8" s="3"/>
      <c r="J8" s="3"/>
      <c r="K8" s="3"/>
      <c r="L8" s="3"/>
      <c r="M8" s="3"/>
      <c r="N8" s="3"/>
      <c r="O8" s="3"/>
      <c r="P8" s="3"/>
    </row>
    <row r="9" customFormat="false" ht="45.75" hidden="false" customHeight="true" outlineLevel="0" collapsed="false">
      <c r="A9" s="7" t="s">
        <v>73</v>
      </c>
      <c r="B9" s="27" t="n">
        <f aca="false">08_AI_Input!B23</f>
        <v>0.0118421052631579</v>
      </c>
      <c r="C9" s="27" t="n">
        <f aca="false">08_AI_Input!G23</f>
        <v>0.01</v>
      </c>
      <c r="D9" s="27" t="n">
        <f aca="false">B9-C9</f>
        <v>0.0018421052631579</v>
      </c>
      <c r="E9" s="7" t="str">
        <f aca="false">08_AI_Input!I23</f>
        <v>Watch</v>
      </c>
      <c r="F9" s="7" t="s">
        <v>90</v>
      </c>
      <c r="G9" s="7" t="s">
        <v>885</v>
      </c>
      <c r="H9" s="3"/>
      <c r="I9" s="3"/>
      <c r="J9" s="3"/>
      <c r="K9" s="3"/>
      <c r="L9" s="3"/>
      <c r="M9" s="3"/>
      <c r="N9" s="3"/>
      <c r="O9" s="3"/>
      <c r="P9" s="3"/>
    </row>
    <row r="10" customFormat="false" ht="1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customFormat="false" ht="15" hidden="false" customHeight="true" outlineLevel="0" collapsed="false">
      <c r="A11" s="5" t="s">
        <v>886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3"/>
      <c r="N11" s="3"/>
      <c r="O11" s="3"/>
      <c r="P11" s="3"/>
    </row>
    <row r="12" customFormat="false" ht="27.75" hidden="false" customHeight="true" outlineLevel="0" collapsed="false">
      <c r="A12" s="6" t="s">
        <v>582</v>
      </c>
      <c r="B12" s="6" t="s">
        <v>887</v>
      </c>
      <c r="C12" s="6" t="s">
        <v>563</v>
      </c>
      <c r="D12" s="6" t="s">
        <v>888</v>
      </c>
      <c r="E12" s="6" t="s">
        <v>81</v>
      </c>
      <c r="F12" s="6" t="s">
        <v>753</v>
      </c>
      <c r="G12" s="6" t="s">
        <v>79</v>
      </c>
      <c r="H12" s="6" t="s">
        <v>592</v>
      </c>
      <c r="I12" s="3"/>
      <c r="J12" s="3"/>
      <c r="K12" s="3"/>
      <c r="L12" s="3"/>
      <c r="M12" s="3"/>
      <c r="N12" s="3"/>
      <c r="O12" s="3"/>
      <c r="P12" s="3"/>
    </row>
    <row r="13" customFormat="false" ht="45.75" hidden="false" customHeight="true" outlineLevel="0" collapsed="false">
      <c r="A13" s="7" t="s">
        <v>583</v>
      </c>
      <c r="B13" s="7" t="s">
        <v>596</v>
      </c>
      <c r="C13" s="7" t="s">
        <v>90</v>
      </c>
      <c r="D13" s="7" t="s">
        <v>889</v>
      </c>
      <c r="E13" s="7" t="s">
        <v>96</v>
      </c>
      <c r="F13" s="8" t="n">
        <v>46215</v>
      </c>
      <c r="G13" s="7" t="s">
        <v>104</v>
      </c>
      <c r="H13" s="7" t="s">
        <v>890</v>
      </c>
      <c r="I13" s="3"/>
      <c r="J13" s="3"/>
      <c r="K13" s="3"/>
      <c r="L13" s="3"/>
      <c r="M13" s="3"/>
      <c r="N13" s="3"/>
      <c r="O13" s="3"/>
      <c r="P13" s="3"/>
    </row>
    <row r="14" customFormat="false" ht="23.25" hidden="false" customHeight="true" outlineLevel="0" collapsed="false">
      <c r="A14" s="7" t="s">
        <v>587</v>
      </c>
      <c r="B14" s="7" t="s">
        <v>585</v>
      </c>
      <c r="C14" s="7" t="s">
        <v>95</v>
      </c>
      <c r="D14" s="7" t="s">
        <v>891</v>
      </c>
      <c r="E14" s="7" t="s">
        <v>86</v>
      </c>
      <c r="F14" s="8" t="n">
        <v>46210</v>
      </c>
      <c r="G14" s="7" t="s">
        <v>104</v>
      </c>
      <c r="H14" s="7" t="s">
        <v>892</v>
      </c>
      <c r="I14" s="3"/>
      <c r="J14" s="3"/>
      <c r="K14" s="3"/>
      <c r="L14" s="3"/>
      <c r="M14" s="3"/>
      <c r="N14" s="3"/>
      <c r="O14" s="3"/>
      <c r="P14" s="3"/>
    </row>
    <row r="15" customFormat="false" ht="15" hidden="false" customHeight="tru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customFormat="false" ht="15" hidden="false" customHeight="true" outlineLevel="0" collapsed="false">
      <c r="A16" s="5" t="s">
        <v>893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3"/>
      <c r="N16" s="3"/>
      <c r="O16" s="3"/>
      <c r="P16" s="3"/>
    </row>
    <row r="17" customFormat="false" ht="23.25" hidden="false" customHeight="true" outlineLevel="0" collapsed="false">
      <c r="A17" s="21" t="s">
        <v>553</v>
      </c>
      <c r="B17" s="21" t="s">
        <v>547</v>
      </c>
      <c r="C17" s="21" t="s">
        <v>548</v>
      </c>
      <c r="D17" s="21" t="s">
        <v>88</v>
      </c>
      <c r="E17" s="21" t="s">
        <v>111</v>
      </c>
      <c r="F17" s="21" t="s">
        <v>894</v>
      </c>
      <c r="G17" s="21" t="s">
        <v>551</v>
      </c>
      <c r="H17" s="21" t="s">
        <v>691</v>
      </c>
      <c r="I17" s="3"/>
      <c r="J17" s="3"/>
      <c r="K17" s="3"/>
      <c r="L17" s="3"/>
      <c r="M17" s="3"/>
      <c r="N17" s="3"/>
      <c r="O17" s="3"/>
      <c r="P17" s="3"/>
    </row>
    <row r="18" customFormat="false" ht="23.25" hidden="false" customHeight="true" outlineLevel="0" collapsed="false">
      <c r="A18" s="7" t="s">
        <v>554</v>
      </c>
      <c r="B18" s="27" t="n">
        <f aca="false">SUMIFS(12_Data_SEO_Tools!$K:$K,12_Data_SEO_Tools!$A:$A,00_Setup!$C$15,12_Data_SEO_Tools!$C:$C,A18)</f>
        <v>0.186</v>
      </c>
      <c r="C18" s="7" t="n">
        <f aca="false">SUMIFS(12_Data_SEO_Tools!$L:$L,12_Data_SEO_Tools!$A:$A,00_Setup!$C$15,12_Data_SEO_Tools!$C:$C,A18)</f>
        <v>1126</v>
      </c>
      <c r="D18" s="7" t="n">
        <f aca="false">SUMIFS(12_Data_SEO_Tools!$M:$M,12_Data_SEO_Tools!$A:$A,00_Setup!$C$15,12_Data_SEO_Tools!$C:$C,A18)</f>
        <v>46</v>
      </c>
      <c r="E18" s="7" t="n">
        <f aca="false">SUMIFS(12_Data_SEO_Tools!$N:$N,12_Data_SEO_Tools!$A:$A,00_Setup!$C$15,12_Data_SEO_Tools!$C:$C,A18)</f>
        <v>15</v>
      </c>
      <c r="F18" s="7" t="n">
        <f aca="false">D18-E18</f>
        <v>31</v>
      </c>
      <c r="G18" s="7" t="str">
        <f aca="false">IF(A18="demo-client.com","No","Yes")</f>
        <v>No</v>
      </c>
      <c r="H18" s="7" t="str">
        <f aca="false">IF(G18="No",IF(F18&gt;0,"Authority improving","Authority risk"),"Benchmark only")</f>
        <v>Authority improving</v>
      </c>
      <c r="I18" s="3"/>
      <c r="J18" s="3"/>
      <c r="K18" s="3"/>
      <c r="L18" s="3"/>
      <c r="M18" s="3"/>
      <c r="N18" s="3"/>
      <c r="O18" s="3"/>
      <c r="P18" s="3"/>
    </row>
    <row r="19" customFormat="false" ht="23.25" hidden="false" customHeight="true" outlineLevel="0" collapsed="false">
      <c r="A19" s="7" t="s">
        <v>556</v>
      </c>
      <c r="B19" s="27" t="n">
        <f aca="false">SUMIFS(12_Data_SEO_Tools!$K:$K,12_Data_SEO_Tools!$A:$A,00_Setup!$C$15,12_Data_SEO_Tools!$C:$C,A19)</f>
        <v>0.244</v>
      </c>
      <c r="C19" s="7" t="n">
        <f aca="false">SUMIFS(12_Data_SEO_Tools!$L:$L,12_Data_SEO_Tools!$A:$A,00_Setup!$C$15,12_Data_SEO_Tools!$C:$C,A19)</f>
        <v>1830</v>
      </c>
      <c r="D19" s="7" t="n">
        <f aca="false">SUMIFS(12_Data_SEO_Tools!$M:$M,12_Data_SEO_Tools!$A:$A,00_Setup!$C$15,12_Data_SEO_Tools!$C:$C,A19)</f>
        <v>38</v>
      </c>
      <c r="E19" s="7" t="n">
        <f aca="false">SUMIFS(12_Data_SEO_Tools!$N:$N,12_Data_SEO_Tools!$A:$A,00_Setup!$C$15,12_Data_SEO_Tools!$C:$C,A19)</f>
        <v>16</v>
      </c>
      <c r="F19" s="7" t="n">
        <f aca="false">D19-E19</f>
        <v>22</v>
      </c>
      <c r="G19" s="7" t="str">
        <f aca="false">IF(A19="demo-client.com","No","Yes")</f>
        <v>Yes</v>
      </c>
      <c r="H19" s="7" t="str">
        <f aca="false">IF(G19="No",IF(F19&gt;0,"Authority improving","Authority risk"),"Benchmark only")</f>
        <v>Benchmark only</v>
      </c>
      <c r="I19" s="3"/>
      <c r="J19" s="3"/>
      <c r="K19" s="3"/>
      <c r="L19" s="3"/>
      <c r="M19" s="3"/>
      <c r="N19" s="3"/>
      <c r="O19" s="3"/>
      <c r="P19" s="3"/>
    </row>
    <row r="20" customFormat="false" ht="23.25" hidden="false" customHeight="true" outlineLevel="0" collapsed="false">
      <c r="A20" s="7" t="s">
        <v>557</v>
      </c>
      <c r="B20" s="27" t="n">
        <f aca="false">SUMIFS(12_Data_SEO_Tools!$K:$K,12_Data_SEO_Tools!$A:$A,00_Setup!$C$15,12_Data_SEO_Tools!$C:$C,A20)</f>
        <v>0.207</v>
      </c>
      <c r="C20" s="7" t="n">
        <f aca="false">SUMIFS(12_Data_SEO_Tools!$L:$L,12_Data_SEO_Tools!$A:$A,00_Setup!$C$15,12_Data_SEO_Tools!$C:$C,A20)</f>
        <v>1560</v>
      </c>
      <c r="D20" s="7" t="n">
        <f aca="false">SUMIFS(12_Data_SEO_Tools!$M:$M,12_Data_SEO_Tools!$A:$A,00_Setup!$C$15,12_Data_SEO_Tools!$C:$C,A20)</f>
        <v>32</v>
      </c>
      <c r="E20" s="7" t="n">
        <f aca="false">SUMIFS(12_Data_SEO_Tools!$N:$N,12_Data_SEO_Tools!$A:$A,00_Setup!$C$15,12_Data_SEO_Tools!$C:$C,A20)</f>
        <v>14</v>
      </c>
      <c r="F20" s="7" t="n">
        <f aca="false">D20-E20</f>
        <v>18</v>
      </c>
      <c r="G20" s="7" t="str">
        <f aca="false">IF(A20="demo-client.com","No","Yes")</f>
        <v>Yes</v>
      </c>
      <c r="H20" s="7" t="str">
        <f aca="false">IF(G20="No",IF(F20&gt;0,"Authority improving","Authority risk"),"Benchmark only")</f>
        <v>Benchmark only</v>
      </c>
      <c r="I20" s="3"/>
      <c r="J20" s="3"/>
      <c r="K20" s="3"/>
      <c r="L20" s="3"/>
      <c r="M20" s="3"/>
      <c r="N20" s="3"/>
      <c r="O20" s="3"/>
      <c r="P20" s="3"/>
    </row>
    <row r="21" customFormat="false" ht="15.7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customFormat="false" ht="15.7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customFormat="false" ht="15.75" hidden="false" customHeight="tru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customFormat="false" ht="15.7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customFormat="false" ht="15.75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customFormat="false" ht="15.75" hidden="false" customHeight="tru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customFormat="false" ht="15.75" hidden="false" customHeight="tru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customFormat="false" ht="15.75" hidden="false" customHeight="tru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customFormat="false" ht="15.75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customFormat="false" ht="15.7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customFormat="false" ht="15.7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customFormat="false" ht="15.75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customFormat="false" ht="15.7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customFormat="false" ht="15.75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customFormat="false" ht="15.7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customFormat="false" ht="15.7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customFormat="false" ht="15.7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customFormat="false" ht="15.7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customFormat="false" ht="15.7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customFormat="false" ht="15.7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customFormat="false" ht="15.7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customFormat="false" ht="15.7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customFormat="false" ht="15.7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customFormat="false" ht="15.7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customFormat="false" ht="15.7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customFormat="false" ht="15.7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customFormat="false" ht="15.7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customFormat="false" ht="15.7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customFormat="false" ht="15.7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 customFormat="false" ht="15.7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customFormat="false" ht="15.7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customFormat="false" ht="15.7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customFormat="false" ht="15.7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customFormat="false" ht="15.7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customFormat="false" ht="15.7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customFormat="false" ht="15.7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customFormat="false" ht="15.7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customFormat="false" ht="15.7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customFormat="false" ht="15.7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customFormat="false" ht="15.7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 customFormat="false" ht="15.7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customFormat="false" ht="15.7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 customFormat="false" ht="15.7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 customFormat="false" ht="15.7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</row>
    <row r="65" customFormat="false" ht="15.7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customFormat="false" ht="15.7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 customFormat="false" ht="15.7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customFormat="false" ht="15.7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</row>
    <row r="69" customFormat="false" ht="15.7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customFormat="false" ht="15.7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customFormat="false" ht="15.7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customFormat="false" ht="15.7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customFormat="false" ht="15.7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</row>
    <row r="74" customFormat="false" ht="15.7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 customFormat="false" ht="15.7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</row>
    <row r="76" customFormat="false" ht="15.7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</row>
    <row r="77" customFormat="false" ht="15.7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</row>
    <row r="78" customFormat="false" ht="15.7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customFormat="false" ht="15.7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</row>
    <row r="80" customFormat="false" ht="15.7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</row>
    <row r="81" customFormat="false" ht="15.7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customFormat="false" ht="15.7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customFormat="false" ht="15.7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</row>
    <row r="84" customFormat="false" ht="15.7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</row>
    <row r="85" customFormat="false" ht="15.7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customFormat="false" ht="15.7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</row>
    <row r="87" customFormat="false" ht="15.7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</row>
    <row r="88" customFormat="false" ht="15.7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</row>
    <row r="89" customFormat="false" ht="15.7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</row>
    <row r="90" customFormat="false" ht="15.7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customFormat="false" ht="15.7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</row>
    <row r="92" customFormat="false" ht="15.7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customFormat="false" ht="15.7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</row>
    <row r="94" customFormat="false" ht="15.7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</row>
    <row r="95" customFormat="false" ht="15.7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customFormat="false" ht="15.7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</row>
    <row r="97" customFormat="false" ht="15.7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</row>
    <row r="98" customFormat="false" ht="15.7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</row>
    <row r="99" customFormat="false" ht="15.7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</row>
    <row r="100" customFormat="false" ht="15.7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</row>
    <row r="101" customFormat="false" ht="15.7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</row>
    <row r="102" customFormat="false" ht="15.7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</row>
    <row r="103" customFormat="false" ht="15.7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</row>
    <row r="104" customFormat="false" ht="15.7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customFormat="false" ht="15.7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</row>
    <row r="106" customFormat="false" ht="15.7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</row>
    <row r="107" customFormat="false" ht="15.7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</row>
    <row r="108" customFormat="false" ht="15.7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</row>
    <row r="109" customFormat="false" ht="15.7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</row>
    <row r="110" customFormat="false" ht="15.7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</row>
    <row r="111" customFormat="false" ht="15.7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</row>
    <row r="112" customFormat="false" ht="15.7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</row>
    <row r="113" customFormat="false" ht="15.7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</row>
    <row r="114" customFormat="false" ht="15.7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</row>
    <row r="115" customFormat="false" ht="15.7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</row>
    <row r="116" customFormat="false" ht="15.7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</row>
    <row r="117" customFormat="false" ht="15.7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</row>
    <row r="118" customFormat="false" ht="15.7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</row>
    <row r="119" customFormat="false" ht="15.7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</row>
    <row r="120" customFormat="false" ht="15.7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</row>
    <row r="121" customFormat="false" ht="15.7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</row>
    <row r="122" customFormat="false" ht="15.7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</row>
    <row r="123" customFormat="false" ht="15.7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</row>
    <row r="124" customFormat="false" ht="15.7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</row>
    <row r="125" customFormat="false" ht="15.7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</row>
    <row r="126" customFormat="false" ht="15.7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</row>
    <row r="127" customFormat="false" ht="15.7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</row>
    <row r="128" customFormat="false" ht="15.7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</row>
    <row r="129" customFormat="false" ht="15.7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</row>
    <row r="130" customFormat="false" ht="15.7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</row>
    <row r="131" customFormat="false" ht="15.7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</row>
    <row r="132" customFormat="false" ht="15.7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</row>
    <row r="133" customFormat="false" ht="15.7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</row>
    <row r="134" customFormat="false" ht="15.7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</row>
    <row r="135" customFormat="false" ht="15.7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</row>
    <row r="136" customFormat="false" ht="15.7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</row>
    <row r="137" customFormat="false" ht="15.7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</row>
    <row r="138" customFormat="false" ht="15.7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</row>
    <row r="139" customFormat="false" ht="15.7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</row>
    <row r="140" customFormat="false" ht="15.7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</row>
    <row r="141" customFormat="false" ht="15.7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</row>
    <row r="142" customFormat="false" ht="15.7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</row>
    <row r="143" customFormat="false" ht="15.7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</row>
    <row r="144" customFormat="false" ht="15.7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</row>
    <row r="145" customFormat="false" ht="15.7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</row>
    <row r="146" customFormat="false" ht="15.7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</row>
    <row r="147" customFormat="false" ht="15.7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</row>
    <row r="148" customFormat="false" ht="15.7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</row>
    <row r="149" customFormat="false" ht="15.7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</row>
    <row r="150" customFormat="false" ht="15.7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</row>
    <row r="151" customFormat="false" ht="15.7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</row>
    <row r="152" customFormat="false" ht="15.7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</row>
    <row r="153" customFormat="false" ht="15.7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</row>
    <row r="154" customFormat="false" ht="15.7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</row>
    <row r="155" customFormat="false" ht="15.7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</row>
    <row r="156" customFormat="false" ht="15.7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</row>
    <row r="157" customFormat="false" ht="15.7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</row>
    <row r="158" customFormat="false" ht="15.7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</row>
    <row r="159" customFormat="false" ht="15.7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</row>
    <row r="160" customFormat="false" ht="15.7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</row>
    <row r="161" customFormat="false" ht="15.7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</row>
    <row r="162" customFormat="false" ht="15.7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</row>
    <row r="163" customFormat="false" ht="15.7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</row>
    <row r="164" customFormat="false" ht="15.7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</row>
    <row r="165" customFormat="false" ht="15.7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</row>
    <row r="166" customFormat="false" ht="15.7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</row>
    <row r="167" customFormat="false" ht="15.7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</row>
    <row r="168" customFormat="false" ht="15.7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</row>
    <row r="169" customFormat="false" ht="15.7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</row>
    <row r="170" customFormat="false" ht="15.7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</row>
    <row r="171" customFormat="false" ht="15.7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</row>
    <row r="172" customFormat="false" ht="15.7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</row>
    <row r="173" customFormat="false" ht="15.7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</row>
    <row r="174" customFormat="false" ht="15.7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</row>
    <row r="175" customFormat="false" ht="15.7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</row>
    <row r="176" customFormat="false" ht="15.7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</row>
    <row r="177" customFormat="false" ht="15.7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</row>
    <row r="178" customFormat="false" ht="15.7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</row>
    <row r="179" customFormat="false" ht="15.7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</row>
    <row r="180" customFormat="false" ht="15.7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</row>
    <row r="181" customFormat="false" ht="15.7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</row>
    <row r="182" customFormat="false" ht="15.7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</row>
    <row r="183" customFormat="false" ht="15.7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</row>
    <row r="184" customFormat="false" ht="15.7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</row>
    <row r="185" customFormat="false" ht="15.7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</row>
    <row r="186" customFormat="false" ht="15.7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</row>
    <row r="187" customFormat="false" ht="15.7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</row>
    <row r="188" customFormat="false" ht="15.7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</row>
    <row r="189" customFormat="false" ht="15.7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</row>
    <row r="190" customFormat="false" ht="15.7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</row>
    <row r="191" customFormat="false" ht="15.7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</row>
    <row r="192" customFormat="false" ht="15.7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</row>
    <row r="193" customFormat="false" ht="15.7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</row>
    <row r="194" customFormat="false" ht="15.7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</row>
    <row r="195" customFormat="false" ht="15.7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</row>
    <row r="196" customFormat="false" ht="15.7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</row>
    <row r="197" customFormat="false" ht="15.7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</row>
    <row r="198" customFormat="false" ht="15.7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</row>
    <row r="199" customFormat="false" ht="15.7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</row>
    <row r="200" customFormat="false" ht="15.7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</row>
    <row r="201" customFormat="false" ht="15.7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</row>
    <row r="202" customFormat="false" ht="15.7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</row>
    <row r="203" customFormat="false" ht="15.7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</row>
    <row r="204" customFormat="false" ht="15.7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</row>
    <row r="205" customFormat="false" ht="15.7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</row>
    <row r="206" customFormat="false" ht="15.7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</row>
    <row r="207" customFormat="false" ht="15.7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</row>
    <row r="208" customFormat="false" ht="15.7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</row>
    <row r="209" customFormat="false" ht="15.7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</row>
    <row r="210" customFormat="false" ht="15.7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</row>
    <row r="211" customFormat="false" ht="15.7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</row>
    <row r="212" customFormat="false" ht="15.7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</row>
    <row r="213" customFormat="false" ht="15.7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</row>
    <row r="214" customFormat="false" ht="15.7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</row>
    <row r="215" customFormat="false" ht="15.7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</row>
    <row r="216" customFormat="false" ht="15.7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</row>
    <row r="217" customFormat="false" ht="15.7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</row>
    <row r="218" customFormat="false" ht="15.7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</row>
    <row r="219" customFormat="false" ht="15.7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</row>
    <row r="220" customFormat="false" ht="15.7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</row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5">
    <mergeCell ref="A1:L2"/>
    <mergeCell ref="A3:L3"/>
    <mergeCell ref="A5:L5"/>
    <mergeCell ref="A11:L11"/>
    <mergeCell ref="A16:L1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4"/>
    <col collapsed="false" customWidth="true" hidden="false" outlineLevel="0" max="3" min="3" style="1" width="22"/>
    <col collapsed="false" customWidth="true" hidden="false" outlineLevel="0" max="4" min="4" style="1" width="26"/>
    <col collapsed="false" customWidth="true" hidden="false" outlineLevel="0" max="5" min="5" style="1" width="14"/>
    <col collapsed="false" customWidth="true" hidden="false" outlineLevel="0" max="6" min="6" style="1" width="18"/>
    <col collapsed="false" customWidth="true" hidden="false" outlineLevel="0" max="7" min="7" style="1" width="14"/>
    <col collapsed="false" customWidth="true" hidden="false" outlineLevel="0" max="9" min="8" style="1" width="16"/>
    <col collapsed="false" customWidth="true" hidden="false" outlineLevel="0" max="11" min="10" style="1" width="18"/>
    <col collapsed="false" customWidth="true" hidden="false" outlineLevel="0" max="12" min="12" style="1" width="24"/>
    <col collapsed="false" customWidth="true" hidden="false" outlineLevel="0" max="26" min="13" style="1" width="8.63"/>
  </cols>
  <sheetData>
    <row r="1" customFormat="false" ht="15" hidden="false" customHeight="true" outlineLevel="0" collapsed="false">
      <c r="A1" s="2" t="s">
        <v>895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3"/>
      <c r="P1" s="3"/>
    </row>
    <row r="2" customFormat="false" ht="1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3"/>
      <c r="O2" s="3"/>
      <c r="P2" s="3"/>
    </row>
    <row r="3" customFormat="false" ht="15" hidden="false" customHeight="true" outlineLevel="0" collapsed="false">
      <c r="A3" s="4" t="s">
        <v>896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3"/>
      <c r="N3" s="3"/>
      <c r="O3" s="3"/>
      <c r="P3" s="3"/>
    </row>
    <row r="4" customFormat="false" ht="15" hidden="false" customHeight="tru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customFormat="false" ht="15" hidden="false" customHeight="true" outlineLevel="0" collapsed="false">
      <c r="A5" s="5" t="s">
        <v>897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3"/>
      <c r="N5" s="3"/>
      <c r="O5" s="3"/>
      <c r="P5" s="3"/>
    </row>
    <row r="6" customFormat="false" ht="15" hidden="false" customHeight="true" outlineLevel="0" collapsed="false">
      <c r="A6" s="21" t="s">
        <v>898</v>
      </c>
      <c r="B6" s="21" t="s">
        <v>592</v>
      </c>
      <c r="C6" s="21" t="s">
        <v>751</v>
      </c>
      <c r="D6" s="21" t="s">
        <v>830</v>
      </c>
      <c r="E6" s="21" t="s">
        <v>80</v>
      </c>
      <c r="F6" s="21" t="s">
        <v>81</v>
      </c>
      <c r="G6" s="21" t="s">
        <v>899</v>
      </c>
      <c r="H6" s="21" t="s">
        <v>900</v>
      </c>
      <c r="I6" s="21" t="s">
        <v>79</v>
      </c>
      <c r="J6" s="21" t="s">
        <v>829</v>
      </c>
      <c r="K6" s="21" t="s">
        <v>687</v>
      </c>
      <c r="L6" s="21" t="s">
        <v>901</v>
      </c>
      <c r="M6" s="3"/>
      <c r="N6" s="12" t="s">
        <v>902</v>
      </c>
      <c r="O6" s="12" t="s">
        <v>903</v>
      </c>
      <c r="P6" s="12" t="s">
        <v>904</v>
      </c>
      <c r="Q6" s="12" t="s">
        <v>905</v>
      </c>
    </row>
    <row r="7" customFormat="false" ht="23.25" hidden="false" customHeight="true" outlineLevel="0" collapsed="false">
      <c r="A7" s="7" t="s">
        <v>906</v>
      </c>
      <c r="B7" s="7" t="s">
        <v>907</v>
      </c>
      <c r="C7" s="7" t="s">
        <v>908</v>
      </c>
      <c r="D7" s="7" t="s">
        <v>909</v>
      </c>
      <c r="E7" s="9" t="s">
        <v>90</v>
      </c>
      <c r="F7" s="7" t="s">
        <v>86</v>
      </c>
      <c r="G7" s="8" t="n">
        <v>46204</v>
      </c>
      <c r="H7" s="8" t="n">
        <v>46213</v>
      </c>
      <c r="I7" s="7" t="s">
        <v>108</v>
      </c>
      <c r="J7" s="7" t="s">
        <v>832</v>
      </c>
      <c r="K7" s="7"/>
      <c r="L7" s="7"/>
      <c r="M7" s="3"/>
      <c r="N7" s="67" t="s">
        <v>53</v>
      </c>
      <c r="O7" s="67" t="n">
        <v>3</v>
      </c>
      <c r="P7" s="48" t="n">
        <f aca="true">IF($G7="","",ROUND((TODAY()-$G7)/7,1))</f>
        <v>3.1</v>
      </c>
      <c r="Q7" s="48" t="str">
        <f aca="false">IF($G7="","",IF($O7="","",IF($P7&gt;=$O7,"Impact should be visible — check "&amp;$N7&amp;" now","Too early to judge — "&amp;ROUND($O7-$P7,1)&amp;" wk(s) remaining")))</f>
        <v>Impact should be visible — check Organic Clicks now</v>
      </c>
    </row>
    <row r="8" customFormat="false" ht="23.25" hidden="false" customHeight="true" outlineLevel="0" collapsed="false">
      <c r="A8" s="7" t="s">
        <v>910</v>
      </c>
      <c r="B8" s="7" t="s">
        <v>911</v>
      </c>
      <c r="C8" s="7" t="s">
        <v>912</v>
      </c>
      <c r="D8" s="7" t="s">
        <v>913</v>
      </c>
      <c r="E8" s="7" t="s">
        <v>85</v>
      </c>
      <c r="F8" s="7" t="s">
        <v>96</v>
      </c>
      <c r="G8" s="8" t="n">
        <v>46204</v>
      </c>
      <c r="H8" s="8" t="n">
        <v>46215</v>
      </c>
      <c r="I8" s="7" t="s">
        <v>104</v>
      </c>
      <c r="J8" s="7" t="s">
        <v>840</v>
      </c>
      <c r="K8" s="7"/>
      <c r="L8" s="7"/>
      <c r="M8" s="3"/>
      <c r="N8" s="67" t="s">
        <v>70</v>
      </c>
      <c r="O8" s="67" t="n">
        <v>4</v>
      </c>
      <c r="P8" s="48" t="n">
        <f aca="true">IF($G8="","",ROUND((TODAY()-$G8)/7,1))</f>
        <v>3.1</v>
      </c>
      <c r="Q8" s="48" t="str">
        <f aca="false">IF($G8="","",IF($O8="","",IF($P8&gt;=$O8,"Impact should be visible — check "&amp;$N8&amp;" now","Too early to judge — "&amp;ROUND($O8-$P8,1)&amp;" wk(s) remaining")))</f>
        <v>Too early to judge — 0.9 wk(s) remaining</v>
      </c>
    </row>
    <row r="9" customFormat="false" ht="23.25" hidden="false" customHeight="true" outlineLevel="0" collapsed="false">
      <c r="A9" s="7" t="s">
        <v>914</v>
      </c>
      <c r="B9" s="7" t="s">
        <v>764</v>
      </c>
      <c r="C9" s="7" t="s">
        <v>915</v>
      </c>
      <c r="D9" s="7" t="s">
        <v>916</v>
      </c>
      <c r="E9" s="7" t="s">
        <v>90</v>
      </c>
      <c r="F9" s="7" t="s">
        <v>91</v>
      </c>
      <c r="G9" s="8" t="n">
        <v>46205</v>
      </c>
      <c r="H9" s="8" t="n">
        <v>46218</v>
      </c>
      <c r="I9" s="7" t="s">
        <v>104</v>
      </c>
      <c r="J9" s="7" t="s">
        <v>843</v>
      </c>
      <c r="K9" s="7"/>
      <c r="L9" s="7"/>
      <c r="M9" s="3"/>
      <c r="N9" s="67" t="s">
        <v>53</v>
      </c>
      <c r="O9" s="67" t="n">
        <v>8</v>
      </c>
      <c r="P9" s="48" t="n">
        <f aca="true">IF($G9="","",ROUND((TODAY()-$G9)/7,1))</f>
        <v>3</v>
      </c>
      <c r="Q9" s="48" t="str">
        <f aca="false">IF($G9="","",IF($O9="","",IF($P9&gt;=$O9,"Impact should be visible — check "&amp;$N9&amp;" now","Too early to judge — "&amp;ROUND($O9-$P9,1)&amp;" wk(s) remaining")))</f>
        <v>Too early to judge — 5 wk(s) remaining</v>
      </c>
    </row>
    <row r="10" customFormat="false" ht="23.25" hidden="false" customHeight="true" outlineLevel="0" collapsed="false">
      <c r="A10" s="7" t="s">
        <v>917</v>
      </c>
      <c r="B10" s="7" t="s">
        <v>918</v>
      </c>
      <c r="C10" s="7" t="s">
        <v>919</v>
      </c>
      <c r="D10" s="7" t="s">
        <v>762</v>
      </c>
      <c r="E10" s="7" t="s">
        <v>85</v>
      </c>
      <c r="F10" s="7" t="s">
        <v>920</v>
      </c>
      <c r="G10" s="8" t="n">
        <v>46206</v>
      </c>
      <c r="H10" s="8" t="n">
        <v>46221</v>
      </c>
      <c r="I10" s="7" t="s">
        <v>108</v>
      </c>
      <c r="J10" s="7" t="s">
        <v>837</v>
      </c>
      <c r="K10" s="7"/>
      <c r="L10" s="7"/>
      <c r="M10" s="3"/>
      <c r="N10" s="67" t="s">
        <v>54</v>
      </c>
      <c r="O10" s="67" t="n">
        <v>6</v>
      </c>
      <c r="P10" s="48" t="n">
        <f aca="true">IF($G10="","",ROUND((TODAY()-$G10)/7,1))</f>
        <v>2.9</v>
      </c>
      <c r="Q10" s="48" t="str">
        <f aca="false">IF($G10="","",IF($O10="","",IF($P10&gt;=$O10,"Impact should be visible — check "&amp;$N10&amp;" now","Too early to judge — "&amp;ROUND($O10-$P10,1)&amp;" wk(s) remaining")))</f>
        <v>Too early to judge — 3.1 wk(s) remaining</v>
      </c>
    </row>
    <row r="11" customFormat="false" ht="15" hidden="false" customHeight="tru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54" t="str">
        <f aca="true">IF($G11="","",ROUND((TODAY()-$G11)/7,1))</f>
        <v/>
      </c>
      <c r="Q11" s="54" t="str">
        <f aca="false">IF($G11="","",IF($O11="","",IF($P11&gt;=$O11,"Impact should be visible — check "&amp;$N11&amp;" now","Too early to judge — "&amp;ROUND($O11-$P11,1)&amp;" wk(s) remaining")))</f>
        <v/>
      </c>
    </row>
    <row r="12" customFormat="false" ht="1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54" t="str">
        <f aca="true">IF($G12="","",ROUND((TODAY()-$G12)/7,1))</f>
        <v/>
      </c>
      <c r="Q12" s="54" t="str">
        <f aca="false">IF($G12="","",IF($O12="","",IF($P12&gt;=$O12,"Impact should be visible — check "&amp;$N12&amp;" now","Too early to judge — "&amp;ROUND($O12-$P12,1)&amp;" wk(s) remaining")))</f>
        <v/>
      </c>
    </row>
    <row r="13" customFormat="false" ht="15" hidden="false" customHeight="tru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54" t="str">
        <f aca="true">IF($G13="","",ROUND((TODAY()-$G13)/7,1))</f>
        <v/>
      </c>
      <c r="Q13" s="54" t="str">
        <f aca="false">IF($G13="","",IF($O13="","",IF($P13&gt;=$O13,"Impact should be visible — check "&amp;$N13&amp;" now","Too early to judge — "&amp;ROUND($O13-$P13,1)&amp;" wk(s) remaining")))</f>
        <v/>
      </c>
    </row>
    <row r="14" customFormat="false" ht="15" hidden="false" customHeight="tru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54" t="str">
        <f aca="true">IF($G14="","",ROUND((TODAY()-$G14)/7,1))</f>
        <v/>
      </c>
      <c r="Q14" s="54" t="str">
        <f aca="false">IF($G14="","",IF($O14="","",IF($P14&gt;=$O14,"Impact should be visible — check "&amp;$N14&amp;" now","Too early to judge — "&amp;ROUND($O14-$P14,1)&amp;" wk(s) remaining")))</f>
        <v/>
      </c>
    </row>
    <row r="15" customFormat="false" ht="15" hidden="false" customHeight="tru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54" t="str">
        <f aca="true">IF($G15="","",ROUND((TODAY()-$G15)/7,1))</f>
        <v/>
      </c>
      <c r="Q15" s="54" t="str">
        <f aca="false">IF($G15="","",IF($O15="","",IF($P15&gt;=$O15,"Impact should be visible — check "&amp;$N15&amp;" now","Too early to judge — "&amp;ROUND($O15-$P15,1)&amp;" wk(s) remaining")))</f>
        <v/>
      </c>
    </row>
    <row r="16" customFormat="false" ht="15" hidden="false" customHeight="tru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54" t="str">
        <f aca="true">IF($G16="","",ROUND((TODAY()-$G16)/7,1))</f>
        <v/>
      </c>
      <c r="Q16" s="54" t="str">
        <f aca="false">IF($G16="","",IF($O16="","",IF($P16&gt;=$O16,"Impact should be visible — check "&amp;$N16&amp;" now","Too early to judge — "&amp;ROUND($O16-$P16,1)&amp;" wk(s) remaining")))</f>
        <v/>
      </c>
    </row>
    <row r="17" customFormat="false" ht="15" hidden="false" customHeight="tru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customFormat="false" ht="31.5" hidden="false" customHeight="true" outlineLevel="0" collapsed="false">
      <c r="A18" s="39" t="s">
        <v>921</v>
      </c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</row>
    <row r="19" customFormat="false" ht="15" hidden="false" customHeight="tru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customFormat="false" ht="1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customFormat="false" ht="15.7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customFormat="false" ht="15.7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customFormat="false" ht="15.75" hidden="false" customHeight="tru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customFormat="false" ht="15.7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customFormat="false" ht="15.75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customFormat="false" ht="15.75" hidden="false" customHeight="tru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customFormat="false" ht="15.75" hidden="false" customHeight="tru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customFormat="false" ht="15.75" hidden="false" customHeight="tru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customFormat="false" ht="15.75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customFormat="false" ht="15.7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customFormat="false" ht="15.7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customFormat="false" ht="15.75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customFormat="false" ht="15.7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customFormat="false" ht="15.75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customFormat="false" ht="15.7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customFormat="false" ht="15.7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customFormat="false" ht="15.7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customFormat="false" ht="15.7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customFormat="false" ht="15.7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customFormat="false" ht="15.7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customFormat="false" ht="15.7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customFormat="false" ht="15.7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customFormat="false" ht="15.7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customFormat="false" ht="15.7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customFormat="false" ht="15.7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customFormat="false" ht="15.7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customFormat="false" ht="15.7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customFormat="false" ht="15.7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customFormat="false" ht="15.7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 customFormat="false" ht="15.7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customFormat="false" ht="15.7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customFormat="false" ht="15.7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customFormat="false" ht="15.7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customFormat="false" ht="15.7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customFormat="false" ht="15.7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customFormat="false" ht="15.7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customFormat="false" ht="15.7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customFormat="false" ht="15.7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customFormat="false" ht="15.7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customFormat="false" ht="15.7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 customFormat="false" ht="15.7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customFormat="false" ht="15.7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 customFormat="false" ht="15.7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 customFormat="false" ht="15.7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</row>
    <row r="65" customFormat="false" ht="15.7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customFormat="false" ht="15.7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 customFormat="false" ht="15.7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customFormat="false" ht="15.7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</row>
    <row r="69" customFormat="false" ht="15.7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customFormat="false" ht="15.7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customFormat="false" ht="15.7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customFormat="false" ht="15.7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customFormat="false" ht="15.7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</row>
    <row r="74" customFormat="false" ht="15.7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 customFormat="false" ht="15.7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</row>
    <row r="76" customFormat="false" ht="15.7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</row>
    <row r="77" customFormat="false" ht="15.7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</row>
    <row r="78" customFormat="false" ht="15.7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customFormat="false" ht="15.7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</row>
    <row r="80" customFormat="false" ht="15.7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</row>
    <row r="81" customFormat="false" ht="15.7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customFormat="false" ht="15.7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customFormat="false" ht="15.7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</row>
    <row r="84" customFormat="false" ht="15.7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</row>
    <row r="85" customFormat="false" ht="15.7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customFormat="false" ht="15.7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</row>
    <row r="87" customFormat="false" ht="15.7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</row>
    <row r="88" customFormat="false" ht="15.7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</row>
    <row r="89" customFormat="false" ht="15.7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</row>
    <row r="90" customFormat="false" ht="15.7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customFormat="false" ht="15.7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</row>
    <row r="92" customFormat="false" ht="15.7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customFormat="false" ht="15.7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</row>
    <row r="94" customFormat="false" ht="15.7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</row>
    <row r="95" customFormat="false" ht="15.7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customFormat="false" ht="15.7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</row>
    <row r="97" customFormat="false" ht="15.7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</row>
    <row r="98" customFormat="false" ht="15.7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</row>
    <row r="99" customFormat="false" ht="15.7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</row>
    <row r="100" customFormat="false" ht="15.7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</row>
    <row r="101" customFormat="false" ht="15.7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</row>
    <row r="102" customFormat="false" ht="15.7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</row>
    <row r="103" customFormat="false" ht="15.7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</row>
    <row r="104" customFormat="false" ht="15.7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customFormat="false" ht="15.7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</row>
    <row r="106" customFormat="false" ht="15.7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</row>
    <row r="107" customFormat="false" ht="15.7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</row>
    <row r="108" customFormat="false" ht="15.7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</row>
    <row r="109" customFormat="false" ht="15.7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</row>
    <row r="110" customFormat="false" ht="15.7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</row>
    <row r="111" customFormat="false" ht="15.7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</row>
    <row r="112" customFormat="false" ht="15.7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</row>
    <row r="113" customFormat="false" ht="15.7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</row>
    <row r="114" customFormat="false" ht="15.7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</row>
    <row r="115" customFormat="false" ht="15.7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</row>
    <row r="116" customFormat="false" ht="15.7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</row>
    <row r="117" customFormat="false" ht="15.7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</row>
    <row r="118" customFormat="false" ht="15.7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</row>
    <row r="119" customFormat="false" ht="15.7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</row>
    <row r="120" customFormat="false" ht="15.7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</row>
    <row r="121" customFormat="false" ht="15.7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</row>
    <row r="122" customFormat="false" ht="15.7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</row>
    <row r="123" customFormat="false" ht="15.7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</row>
    <row r="124" customFormat="false" ht="15.7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</row>
    <row r="125" customFormat="false" ht="15.7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</row>
    <row r="126" customFormat="false" ht="15.7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</row>
    <row r="127" customFormat="false" ht="15.7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</row>
    <row r="128" customFormat="false" ht="15.7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</row>
    <row r="129" customFormat="false" ht="15.7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</row>
    <row r="130" customFormat="false" ht="15.7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</row>
    <row r="131" customFormat="false" ht="15.7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</row>
    <row r="132" customFormat="false" ht="15.7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</row>
    <row r="133" customFormat="false" ht="15.7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</row>
    <row r="134" customFormat="false" ht="15.7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</row>
    <row r="135" customFormat="false" ht="15.7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</row>
    <row r="136" customFormat="false" ht="15.7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</row>
    <row r="137" customFormat="false" ht="15.7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</row>
    <row r="138" customFormat="false" ht="15.7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</row>
    <row r="139" customFormat="false" ht="15.7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</row>
    <row r="140" customFormat="false" ht="15.7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</row>
    <row r="141" customFormat="false" ht="15.7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</row>
    <row r="142" customFormat="false" ht="15.7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</row>
    <row r="143" customFormat="false" ht="15.7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</row>
    <row r="144" customFormat="false" ht="15.7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</row>
    <row r="145" customFormat="false" ht="15.7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</row>
    <row r="146" customFormat="false" ht="15.7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</row>
    <row r="147" customFormat="false" ht="15.7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</row>
    <row r="148" customFormat="false" ht="15.7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</row>
    <row r="149" customFormat="false" ht="15.7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</row>
    <row r="150" customFormat="false" ht="15.7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</row>
    <row r="151" customFormat="false" ht="15.7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</row>
    <row r="152" customFormat="false" ht="15.7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</row>
    <row r="153" customFormat="false" ht="15.7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</row>
    <row r="154" customFormat="false" ht="15.7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</row>
    <row r="155" customFormat="false" ht="15.7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</row>
    <row r="156" customFormat="false" ht="15.7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</row>
    <row r="157" customFormat="false" ht="15.7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</row>
    <row r="158" customFormat="false" ht="15.7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</row>
    <row r="159" customFormat="false" ht="15.7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</row>
    <row r="160" customFormat="false" ht="15.7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</row>
    <row r="161" customFormat="false" ht="15.7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</row>
    <row r="162" customFormat="false" ht="15.7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</row>
    <row r="163" customFormat="false" ht="15.7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</row>
    <row r="164" customFormat="false" ht="15.7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</row>
    <row r="165" customFormat="false" ht="15.7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</row>
    <row r="166" customFormat="false" ht="15.7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</row>
    <row r="167" customFormat="false" ht="15.7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</row>
    <row r="168" customFormat="false" ht="15.7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</row>
    <row r="169" customFormat="false" ht="15.7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</row>
    <row r="170" customFormat="false" ht="15.7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</row>
    <row r="171" customFormat="false" ht="15.7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</row>
    <row r="172" customFormat="false" ht="15.7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</row>
    <row r="173" customFormat="false" ht="15.7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</row>
    <row r="174" customFormat="false" ht="15.7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</row>
    <row r="175" customFormat="false" ht="15.7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</row>
    <row r="176" customFormat="false" ht="15.7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</row>
    <row r="177" customFormat="false" ht="15.7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</row>
    <row r="178" customFormat="false" ht="15.7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</row>
    <row r="179" customFormat="false" ht="15.7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</row>
    <row r="180" customFormat="false" ht="15.7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</row>
    <row r="181" customFormat="false" ht="15.7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</row>
    <row r="182" customFormat="false" ht="15.7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</row>
    <row r="183" customFormat="false" ht="15.7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</row>
    <row r="184" customFormat="false" ht="15.7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</row>
    <row r="185" customFormat="false" ht="15.7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</row>
    <row r="186" customFormat="false" ht="15.7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</row>
    <row r="187" customFormat="false" ht="15.7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</row>
    <row r="188" customFormat="false" ht="15.7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</row>
    <row r="189" customFormat="false" ht="15.7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</row>
    <row r="190" customFormat="false" ht="15.7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</row>
    <row r="191" customFormat="false" ht="15.7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</row>
    <row r="192" customFormat="false" ht="15.7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</row>
    <row r="193" customFormat="false" ht="15.7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</row>
    <row r="194" customFormat="false" ht="15.7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</row>
    <row r="195" customFormat="false" ht="15.7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</row>
    <row r="196" customFormat="false" ht="15.7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</row>
    <row r="197" customFormat="false" ht="15.7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</row>
    <row r="198" customFormat="false" ht="15.7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</row>
    <row r="199" customFormat="false" ht="15.7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</row>
    <row r="200" customFormat="false" ht="15.7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</row>
    <row r="201" customFormat="false" ht="15.7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</row>
    <row r="202" customFormat="false" ht="15.7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</row>
    <row r="203" customFormat="false" ht="15.7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</row>
    <row r="204" customFormat="false" ht="15.7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</row>
    <row r="205" customFormat="false" ht="15.7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</row>
    <row r="206" customFormat="false" ht="15.7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</row>
    <row r="207" customFormat="false" ht="15.7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</row>
    <row r="208" customFormat="false" ht="15.7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</row>
    <row r="209" customFormat="false" ht="15.7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</row>
    <row r="210" customFormat="false" ht="15.7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</row>
    <row r="211" customFormat="false" ht="15.7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</row>
    <row r="212" customFormat="false" ht="15.7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</row>
    <row r="213" customFormat="false" ht="15.7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</row>
    <row r="214" customFormat="false" ht="15.7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</row>
    <row r="215" customFormat="false" ht="15.7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</row>
    <row r="216" customFormat="false" ht="15.7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</row>
    <row r="217" customFormat="false" ht="15.7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</row>
    <row r="218" customFormat="false" ht="15.7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</row>
    <row r="219" customFormat="false" ht="15.7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</row>
    <row r="220" customFormat="false" ht="15.7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</row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4">
    <mergeCell ref="A1:L2"/>
    <mergeCell ref="A3:L3"/>
    <mergeCell ref="A5:L5"/>
    <mergeCell ref="A18:Q18"/>
  </mergeCells>
  <dataValidations count="2">
    <dataValidation allowBlank="true" errorStyle="stop" operator="between" showDropDown="false" showErrorMessage="false" showInputMessage="false" sqref="I7:I100" type="list">
      <formula1>"Planned,In Progress,Completed,Blocked"</formula1>
      <formula2>0</formula2>
    </dataValidation>
    <dataValidation allowBlank="true" errorStyle="stop" operator="between" showDropDown="false" showErrorMessage="false" showInputMessage="false" sqref="E7:E100" type="list">
      <formula1>"Critical,High,Medium,Low"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3" min="2" style="1" width="22"/>
    <col collapsed="false" customWidth="true" hidden="false" outlineLevel="0" max="10" min="4" style="1" width="14"/>
    <col collapsed="false" customWidth="true" hidden="false" outlineLevel="0" max="26" min="11" style="1" width="8.63"/>
  </cols>
  <sheetData>
    <row r="1" customFormat="false" ht="15" hidden="false" customHeight="true" outlineLevel="0" collapsed="false">
      <c r="A1" s="2" t="s">
        <v>922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P1" s="3"/>
    </row>
    <row r="2" customFormat="false" ht="1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3"/>
      <c r="L2" s="3"/>
      <c r="M2" s="3"/>
      <c r="N2" s="3"/>
      <c r="O2" s="3"/>
      <c r="P2" s="3"/>
    </row>
    <row r="3" customFormat="false" ht="15" hidden="false" customHeight="true" outlineLevel="0" collapsed="false">
      <c r="A3" s="4" t="s">
        <v>923</v>
      </c>
      <c r="B3" s="4"/>
      <c r="C3" s="4"/>
      <c r="D3" s="4"/>
      <c r="E3" s="4"/>
      <c r="F3" s="4"/>
      <c r="G3" s="4"/>
      <c r="H3" s="4"/>
      <c r="I3" s="4"/>
      <c r="J3" s="4"/>
      <c r="K3" s="3"/>
      <c r="L3" s="3"/>
      <c r="M3" s="3"/>
      <c r="N3" s="3"/>
      <c r="O3" s="3"/>
      <c r="P3" s="3"/>
    </row>
    <row r="4" customFormat="false" ht="15" hidden="false" customHeight="tru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customFormat="false" ht="15" hidden="false" customHeight="true" outlineLevel="0" collapsed="false">
      <c r="A5" s="3"/>
      <c r="B5" s="5" t="s">
        <v>924</v>
      </c>
      <c r="C5" s="5"/>
      <c r="D5" s="5"/>
      <c r="E5" s="5"/>
      <c r="F5" s="5"/>
      <c r="G5" s="5"/>
      <c r="H5" s="5"/>
      <c r="I5" s="5"/>
      <c r="J5" s="5"/>
      <c r="K5" s="3"/>
      <c r="L5" s="3"/>
      <c r="M5" s="3"/>
      <c r="N5" s="3"/>
      <c r="O5" s="3"/>
      <c r="P5" s="3"/>
    </row>
    <row r="6" customFormat="false" ht="23.25" hidden="false" customHeight="true" outlineLevel="0" collapsed="false">
      <c r="A6" s="3"/>
      <c r="B6" s="7" t="s">
        <v>925</v>
      </c>
      <c r="C6" s="7" t="s">
        <v>926</v>
      </c>
      <c r="D6" s="7" t="s">
        <v>927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customFormat="false" ht="15" hidden="false" customHeight="true" outlineLevel="0" collapsed="false">
      <c r="A7" s="3"/>
      <c r="B7" s="7" t="s">
        <v>928</v>
      </c>
      <c r="C7" s="7" t="s">
        <v>929</v>
      </c>
      <c r="D7" s="7" t="s">
        <v>930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customFormat="false" ht="23.25" hidden="false" customHeight="true" outlineLevel="0" collapsed="false">
      <c r="A8" s="3"/>
      <c r="B8" s="7" t="s">
        <v>931</v>
      </c>
      <c r="C8" s="7" t="s">
        <v>932</v>
      </c>
      <c r="D8" s="7" t="s">
        <v>933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customFormat="false" ht="23.25" hidden="false" customHeight="true" outlineLevel="0" collapsed="false">
      <c r="A9" s="3"/>
      <c r="B9" s="7" t="s">
        <v>934</v>
      </c>
      <c r="C9" s="7" t="s">
        <v>935</v>
      </c>
      <c r="D9" s="7" t="s">
        <v>936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customFormat="false" ht="23.25" hidden="false" customHeight="true" outlineLevel="0" collapsed="false">
      <c r="A10" s="3"/>
      <c r="B10" s="7" t="s">
        <v>937</v>
      </c>
      <c r="C10" s="7" t="s">
        <v>938</v>
      </c>
      <c r="D10" s="7" t="s">
        <v>939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customFormat="false" ht="23.25" hidden="false" customHeight="true" outlineLevel="0" collapsed="false">
      <c r="A11" s="3"/>
      <c r="B11" s="7" t="s">
        <v>940</v>
      </c>
      <c r="C11" s="7" t="s">
        <v>941</v>
      </c>
      <c r="D11" s="7" t="s">
        <v>942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customFormat="false" ht="1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customFormat="false" ht="15" hidden="false" customHeight="true" outlineLevel="0" collapsed="false">
      <c r="A13" s="3"/>
      <c r="B13" s="5" t="s">
        <v>943</v>
      </c>
      <c r="C13" s="5"/>
      <c r="D13" s="5"/>
      <c r="E13" s="5"/>
      <c r="F13" s="5"/>
      <c r="G13" s="5"/>
      <c r="H13" s="5"/>
      <c r="I13" s="5"/>
      <c r="J13" s="5"/>
      <c r="K13" s="3"/>
      <c r="L13" s="3"/>
      <c r="M13" s="3"/>
      <c r="N13" s="3"/>
      <c r="O13" s="3"/>
      <c r="P13" s="3"/>
    </row>
    <row r="14" customFormat="false" ht="68.25" hidden="false" customHeight="true" outlineLevel="0" collapsed="false">
      <c r="A14" s="3"/>
      <c r="B14" s="7" t="s">
        <v>944</v>
      </c>
      <c r="C14" s="7" t="s">
        <v>945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customFormat="false" ht="45.75" hidden="false" customHeight="true" outlineLevel="0" collapsed="false">
      <c r="A15" s="3"/>
      <c r="B15" s="7" t="s">
        <v>946</v>
      </c>
      <c r="C15" s="7" t="s">
        <v>947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customFormat="false" ht="68.25" hidden="false" customHeight="true" outlineLevel="0" collapsed="false">
      <c r="A16" s="3"/>
      <c r="B16" s="7" t="s">
        <v>948</v>
      </c>
      <c r="C16" s="7" t="s">
        <v>949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customFormat="false" ht="45.75" hidden="false" customHeight="true" outlineLevel="0" collapsed="false">
      <c r="A17" s="3"/>
      <c r="B17" s="7" t="s">
        <v>950</v>
      </c>
      <c r="C17" s="7" t="s">
        <v>951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customFormat="false" ht="68.25" hidden="false" customHeight="true" outlineLevel="0" collapsed="false">
      <c r="A18" s="3"/>
      <c r="B18" s="7" t="s">
        <v>952</v>
      </c>
      <c r="C18" s="7" t="s">
        <v>953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customFormat="false" ht="15" hidden="false" customHeight="tru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customFormat="false" ht="15" hidden="false" customHeight="true" outlineLevel="0" collapsed="false">
      <c r="A20" s="3"/>
      <c r="B20" s="5" t="s">
        <v>954</v>
      </c>
      <c r="C20" s="5"/>
      <c r="D20" s="5"/>
      <c r="E20" s="5"/>
      <c r="F20" s="5"/>
      <c r="G20" s="5"/>
      <c r="H20" s="5"/>
      <c r="I20" s="5"/>
      <c r="J20" s="5"/>
      <c r="K20" s="3"/>
      <c r="L20" s="3"/>
      <c r="M20" s="3"/>
      <c r="N20" s="3"/>
      <c r="O20" s="3"/>
      <c r="P20" s="3"/>
    </row>
    <row r="21" customFormat="false" ht="15.75" hidden="false" customHeight="true" outlineLevel="0" collapsed="false">
      <c r="A21" s="3"/>
      <c r="B21" s="68" t="s">
        <v>955</v>
      </c>
      <c r="C21" s="9" t="s">
        <v>956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customFormat="false" ht="15.75" hidden="false" customHeight="true" outlineLevel="0" collapsed="false">
      <c r="A22" s="3"/>
      <c r="B22" s="68" t="s">
        <v>957</v>
      </c>
      <c r="C22" s="9" t="s">
        <v>958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customFormat="false" ht="15.75" hidden="false" customHeight="true" outlineLevel="0" collapsed="false">
      <c r="A23" s="3"/>
      <c r="B23" s="68" t="s">
        <v>959</v>
      </c>
      <c r="C23" s="9" t="s">
        <v>960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customFormat="false" ht="15.75" hidden="false" customHeight="true" outlineLevel="0" collapsed="false">
      <c r="A24" s="3"/>
      <c r="B24" s="68" t="s">
        <v>961</v>
      </c>
      <c r="C24" s="9" t="s">
        <v>962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customFormat="false" ht="15.75" hidden="false" customHeight="true" outlineLevel="0" collapsed="false">
      <c r="A25" s="3"/>
      <c r="B25" s="68" t="s">
        <v>963</v>
      </c>
      <c r="C25" s="9" t="s">
        <v>964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customFormat="false" ht="15.75" hidden="false" customHeight="true" outlineLevel="0" collapsed="false">
      <c r="A26" s="3"/>
      <c r="B26" s="68" t="s">
        <v>965</v>
      </c>
      <c r="C26" s="9" t="s">
        <v>966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customFormat="false" ht="15.75" hidden="false" customHeight="true" outlineLevel="0" collapsed="false">
      <c r="A27" s="3"/>
      <c r="B27" s="68" t="s">
        <v>967</v>
      </c>
      <c r="C27" s="9" t="s">
        <v>968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customFormat="false" ht="15.75" hidden="false" customHeight="true" outlineLevel="0" collapsed="false">
      <c r="A28" s="3"/>
      <c r="B28" s="68" t="s">
        <v>969</v>
      </c>
      <c r="C28" s="9" t="s">
        <v>970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customFormat="false" ht="15.75" hidden="false" customHeight="true" outlineLevel="0" collapsed="false">
      <c r="A29" s="3"/>
      <c r="B29" s="68" t="s">
        <v>971</v>
      </c>
      <c r="C29" s="9" t="s">
        <v>972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customFormat="false" ht="15.75" hidden="false" customHeight="true" outlineLevel="0" collapsed="false">
      <c r="A30" s="3"/>
      <c r="B30" s="68" t="s">
        <v>973</v>
      </c>
      <c r="C30" s="9" t="s">
        <v>974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customFormat="false" ht="15.75" hidden="false" customHeight="true" outlineLevel="0" collapsed="false">
      <c r="A31" s="3"/>
      <c r="B31" s="69" t="s">
        <v>975</v>
      </c>
      <c r="C31" s="70" t="s">
        <v>976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customFormat="false" ht="15.75" hidden="false" customHeight="true" outlineLevel="0" collapsed="false">
      <c r="A32" s="3"/>
      <c r="B32" s="69" t="s">
        <v>977</v>
      </c>
      <c r="C32" s="70" t="s">
        <v>978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customFormat="false" ht="15.75" hidden="false" customHeight="true" outlineLevel="0" collapsed="false">
      <c r="A33" s="3"/>
      <c r="B33" s="69" t="s">
        <v>979</v>
      </c>
      <c r="C33" s="70" t="s">
        <v>980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customFormat="false" ht="15.75" hidden="false" customHeight="true" outlineLevel="0" collapsed="false">
      <c r="A34" s="3"/>
      <c r="B34" s="69" t="s">
        <v>981</v>
      </c>
      <c r="C34" s="70" t="s">
        <v>982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customFormat="false" ht="15.75" hidden="false" customHeight="true" outlineLevel="0" collapsed="false">
      <c r="A35" s="3"/>
      <c r="B35" s="69" t="s">
        <v>983</v>
      </c>
      <c r="C35" s="70" t="s">
        <v>984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customFormat="false" ht="15.75" hidden="false" customHeight="true" outlineLevel="0" collapsed="false">
      <c r="A36" s="3"/>
      <c r="B36" s="69" t="s">
        <v>985</v>
      </c>
      <c r="C36" s="70" t="s">
        <v>986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customFormat="false" ht="15.7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customFormat="false" ht="15.75" hidden="false" customHeight="true" outlineLevel="0" collapsed="false">
      <c r="A38" s="3"/>
      <c r="B38" s="47" t="s">
        <v>987</v>
      </c>
      <c r="C38" s="47"/>
      <c r="D38" s="47"/>
      <c r="E38" s="47"/>
      <c r="F38" s="47"/>
      <c r="G38" s="47"/>
      <c r="H38" s="47"/>
      <c r="I38" s="47"/>
      <c r="J38" s="47"/>
      <c r="K38" s="3"/>
      <c r="L38" s="3"/>
      <c r="M38" s="3"/>
      <c r="N38" s="3"/>
      <c r="O38" s="3"/>
      <c r="P38" s="3"/>
    </row>
    <row r="39" customFormat="false" ht="15.75" hidden="false" customHeight="true" outlineLevel="0" collapsed="false">
      <c r="A39" s="3"/>
      <c r="B39" s="71" t="s">
        <v>988</v>
      </c>
      <c r="C39" s="72" t="s">
        <v>989</v>
      </c>
      <c r="D39" s="72"/>
      <c r="E39" s="72"/>
      <c r="F39" s="72"/>
      <c r="G39" s="72"/>
      <c r="H39" s="72"/>
      <c r="I39" s="72"/>
      <c r="J39" s="72"/>
      <c r="K39" s="3"/>
      <c r="L39" s="3"/>
      <c r="M39" s="3"/>
      <c r="N39" s="3"/>
      <c r="O39" s="3"/>
      <c r="P39" s="3"/>
    </row>
    <row r="40" customFormat="false" ht="15.75" hidden="false" customHeight="true" outlineLevel="0" collapsed="false">
      <c r="A40" s="3"/>
      <c r="B40" s="69" t="s">
        <v>990</v>
      </c>
      <c r="C40" s="72" t="s">
        <v>991</v>
      </c>
      <c r="D40" s="72"/>
      <c r="E40" s="72"/>
      <c r="F40" s="72"/>
      <c r="G40" s="72"/>
      <c r="H40" s="72"/>
      <c r="I40" s="72"/>
      <c r="J40" s="72"/>
      <c r="K40" s="3"/>
      <c r="L40" s="3"/>
      <c r="M40" s="3"/>
      <c r="N40" s="3"/>
      <c r="O40" s="3"/>
      <c r="P40" s="3"/>
    </row>
    <row r="41" customFormat="false" ht="15.75" hidden="false" customHeight="true" outlineLevel="0" collapsed="false">
      <c r="A41" s="3"/>
      <c r="B41" s="73" t="s">
        <v>992</v>
      </c>
      <c r="C41" s="72" t="s">
        <v>993</v>
      </c>
      <c r="D41" s="72"/>
      <c r="E41" s="72"/>
      <c r="F41" s="72"/>
      <c r="G41" s="72"/>
      <c r="H41" s="72"/>
      <c r="I41" s="72"/>
      <c r="J41" s="72"/>
      <c r="K41" s="3"/>
      <c r="L41" s="3"/>
      <c r="M41" s="3"/>
      <c r="N41" s="3"/>
      <c r="O41" s="3"/>
      <c r="P41" s="3"/>
    </row>
    <row r="42" customFormat="false" ht="15.75" hidden="false" customHeight="true" outlineLevel="0" collapsed="false">
      <c r="A42" s="3"/>
      <c r="B42" s="74" t="s">
        <v>994</v>
      </c>
      <c r="C42" s="72" t="s">
        <v>995</v>
      </c>
      <c r="D42" s="72"/>
      <c r="E42" s="72"/>
      <c r="F42" s="72"/>
      <c r="G42" s="72"/>
      <c r="H42" s="72"/>
      <c r="I42" s="72"/>
      <c r="J42" s="72"/>
      <c r="K42" s="3"/>
      <c r="L42" s="3"/>
      <c r="M42" s="3"/>
      <c r="N42" s="3"/>
      <c r="O42" s="3"/>
      <c r="P42" s="3"/>
    </row>
    <row r="43" customFormat="false" ht="15.75" hidden="false" customHeight="true" outlineLevel="0" collapsed="false">
      <c r="A43" s="3"/>
      <c r="B43" s="75" t="s">
        <v>996</v>
      </c>
      <c r="C43" s="72" t="s">
        <v>997</v>
      </c>
      <c r="D43" s="72"/>
      <c r="E43" s="72"/>
      <c r="F43" s="72"/>
      <c r="G43" s="72"/>
      <c r="H43" s="72"/>
      <c r="I43" s="72"/>
      <c r="J43" s="72"/>
      <c r="K43" s="3"/>
      <c r="L43" s="3"/>
      <c r="M43" s="3"/>
      <c r="N43" s="3"/>
      <c r="O43" s="3"/>
      <c r="P43" s="3"/>
    </row>
    <row r="44" customFormat="false" ht="15.7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customFormat="false" ht="15.75" hidden="false" customHeight="true" outlineLevel="0" collapsed="false">
      <c r="A45" s="3"/>
      <c r="B45" s="47" t="s">
        <v>998</v>
      </c>
      <c r="C45" s="47"/>
      <c r="D45" s="47"/>
      <c r="E45" s="47"/>
      <c r="F45" s="47"/>
      <c r="G45" s="47"/>
      <c r="H45" s="47"/>
      <c r="I45" s="47"/>
      <c r="J45" s="47"/>
      <c r="K45" s="3"/>
      <c r="L45" s="3"/>
      <c r="M45" s="3"/>
      <c r="N45" s="3"/>
      <c r="O45" s="3"/>
      <c r="P45" s="3"/>
    </row>
    <row r="46" customFormat="false" ht="27.75" hidden="false" customHeight="true" outlineLevel="0" collapsed="false">
      <c r="A46" s="3"/>
      <c r="B46" s="70" t="s">
        <v>999</v>
      </c>
      <c r="C46" s="76" t="s">
        <v>1000</v>
      </c>
      <c r="D46" s="76"/>
      <c r="E46" s="76"/>
      <c r="F46" s="76"/>
      <c r="G46" s="76"/>
      <c r="H46" s="76"/>
      <c r="I46" s="76"/>
      <c r="J46" s="76"/>
      <c r="K46" s="3"/>
      <c r="L46" s="3"/>
      <c r="M46" s="3"/>
      <c r="N46" s="3"/>
      <c r="O46" s="3"/>
      <c r="P46" s="3"/>
    </row>
    <row r="47" customFormat="false" ht="27.75" hidden="false" customHeight="true" outlineLevel="0" collapsed="false">
      <c r="A47" s="3"/>
      <c r="B47" s="70" t="s">
        <v>999</v>
      </c>
      <c r="C47" s="76" t="s">
        <v>1001</v>
      </c>
      <c r="D47" s="76"/>
      <c r="E47" s="76"/>
      <c r="F47" s="76"/>
      <c r="G47" s="76"/>
      <c r="H47" s="76"/>
      <c r="I47" s="76"/>
      <c r="J47" s="76"/>
      <c r="K47" s="3"/>
      <c r="L47" s="3"/>
      <c r="M47" s="3"/>
      <c r="N47" s="3"/>
      <c r="O47" s="3"/>
      <c r="P47" s="3"/>
    </row>
    <row r="48" customFormat="false" ht="27.75" hidden="false" customHeight="true" outlineLevel="0" collapsed="false">
      <c r="A48" s="3"/>
      <c r="B48" s="70" t="s">
        <v>999</v>
      </c>
      <c r="C48" s="76" t="s">
        <v>1002</v>
      </c>
      <c r="D48" s="76"/>
      <c r="E48" s="76"/>
      <c r="F48" s="76"/>
      <c r="G48" s="76"/>
      <c r="H48" s="76"/>
      <c r="I48" s="76"/>
      <c r="J48" s="76"/>
      <c r="K48" s="3"/>
      <c r="L48" s="3"/>
      <c r="M48" s="3"/>
      <c r="N48" s="3"/>
      <c r="O48" s="3"/>
      <c r="P48" s="3"/>
    </row>
    <row r="49" customFormat="false" ht="27.75" hidden="false" customHeight="true" outlineLevel="0" collapsed="false">
      <c r="A49" s="3"/>
      <c r="B49" s="70" t="s">
        <v>999</v>
      </c>
      <c r="C49" s="76" t="s">
        <v>1003</v>
      </c>
      <c r="D49" s="76"/>
      <c r="E49" s="76"/>
      <c r="F49" s="76"/>
      <c r="G49" s="76"/>
      <c r="H49" s="76"/>
      <c r="I49" s="76"/>
      <c r="J49" s="76"/>
      <c r="K49" s="3"/>
      <c r="L49" s="3"/>
      <c r="M49" s="3"/>
      <c r="N49" s="3"/>
      <c r="O49" s="3"/>
      <c r="P49" s="3"/>
    </row>
    <row r="50" customFormat="false" ht="27.75" hidden="false" customHeight="true" outlineLevel="0" collapsed="false">
      <c r="A50" s="3"/>
      <c r="B50" s="70" t="s">
        <v>999</v>
      </c>
      <c r="C50" s="76" t="s">
        <v>1004</v>
      </c>
      <c r="D50" s="76"/>
      <c r="E50" s="76"/>
      <c r="F50" s="76"/>
      <c r="G50" s="76"/>
      <c r="H50" s="76"/>
      <c r="I50" s="76"/>
      <c r="J50" s="76"/>
      <c r="K50" s="3"/>
      <c r="L50" s="3"/>
      <c r="M50" s="3"/>
      <c r="N50" s="3"/>
      <c r="O50" s="3"/>
      <c r="P50" s="3"/>
    </row>
    <row r="51" customFormat="false" ht="27.75" hidden="false" customHeight="true" outlineLevel="0" collapsed="false">
      <c r="A51" s="3"/>
      <c r="B51" s="70" t="s">
        <v>999</v>
      </c>
      <c r="C51" s="76" t="s">
        <v>1005</v>
      </c>
      <c r="D51" s="76"/>
      <c r="E51" s="76"/>
      <c r="F51" s="76"/>
      <c r="G51" s="76"/>
      <c r="H51" s="76"/>
      <c r="I51" s="76"/>
      <c r="J51" s="76"/>
      <c r="K51" s="3"/>
      <c r="L51" s="3"/>
      <c r="M51" s="3"/>
      <c r="N51" s="3"/>
      <c r="O51" s="3"/>
      <c r="P51" s="3"/>
    </row>
    <row r="52" customFormat="false" ht="27.75" hidden="false" customHeight="true" outlineLevel="0" collapsed="false">
      <c r="A52" s="3"/>
      <c r="B52" s="70" t="s">
        <v>999</v>
      </c>
      <c r="C52" s="76" t="s">
        <v>1006</v>
      </c>
      <c r="D52" s="76"/>
      <c r="E52" s="76"/>
      <c r="F52" s="76"/>
      <c r="G52" s="76"/>
      <c r="H52" s="76"/>
      <c r="I52" s="76"/>
      <c r="J52" s="76"/>
      <c r="K52" s="3"/>
      <c r="L52" s="3"/>
      <c r="M52" s="3"/>
      <c r="N52" s="3"/>
      <c r="O52" s="3"/>
      <c r="P52" s="3"/>
    </row>
    <row r="53" customFormat="false" ht="27.75" hidden="false" customHeight="true" outlineLevel="0" collapsed="false">
      <c r="A53" s="3"/>
      <c r="B53" s="70" t="s">
        <v>999</v>
      </c>
      <c r="C53" s="76" t="s">
        <v>1007</v>
      </c>
      <c r="D53" s="76"/>
      <c r="E53" s="76"/>
      <c r="F53" s="76"/>
      <c r="G53" s="76"/>
      <c r="H53" s="76"/>
      <c r="I53" s="76"/>
      <c r="J53" s="76"/>
      <c r="K53" s="3"/>
      <c r="L53" s="3"/>
      <c r="M53" s="3"/>
      <c r="N53" s="3"/>
      <c r="O53" s="3"/>
      <c r="P53" s="3"/>
    </row>
    <row r="54" customFormat="false" ht="27.75" hidden="false" customHeight="true" outlineLevel="0" collapsed="false">
      <c r="A54" s="3"/>
      <c r="B54" s="70" t="s">
        <v>999</v>
      </c>
      <c r="C54" s="76" t="s">
        <v>1008</v>
      </c>
      <c r="D54" s="76"/>
      <c r="E54" s="76"/>
      <c r="F54" s="76"/>
      <c r="G54" s="76"/>
      <c r="H54" s="76"/>
      <c r="I54" s="76"/>
      <c r="J54" s="76"/>
      <c r="K54" s="3"/>
      <c r="L54" s="3"/>
      <c r="M54" s="3"/>
      <c r="N54" s="3"/>
      <c r="O54" s="3"/>
      <c r="P54" s="3"/>
    </row>
    <row r="55" customFormat="false" ht="27.75" hidden="false" customHeight="true" outlineLevel="0" collapsed="false">
      <c r="A55" s="3"/>
      <c r="B55" s="70" t="s">
        <v>999</v>
      </c>
      <c r="C55" s="76" t="s">
        <v>1009</v>
      </c>
      <c r="D55" s="76"/>
      <c r="E55" s="76"/>
      <c r="F55" s="76"/>
      <c r="G55" s="76"/>
      <c r="H55" s="76"/>
      <c r="I55" s="76"/>
      <c r="J55" s="76"/>
      <c r="K55" s="3"/>
      <c r="L55" s="3"/>
      <c r="M55" s="3"/>
      <c r="N55" s="3"/>
      <c r="O55" s="3"/>
      <c r="P55" s="3"/>
    </row>
    <row r="56" customFormat="false" ht="27.75" hidden="false" customHeight="true" outlineLevel="0" collapsed="false">
      <c r="A56" s="3"/>
      <c r="B56" s="70" t="s">
        <v>999</v>
      </c>
      <c r="C56" s="76" t="s">
        <v>1010</v>
      </c>
      <c r="D56" s="76"/>
      <c r="E56" s="76"/>
      <c r="F56" s="76"/>
      <c r="G56" s="76"/>
      <c r="H56" s="76"/>
      <c r="I56" s="76"/>
      <c r="J56" s="76"/>
      <c r="K56" s="3"/>
      <c r="L56" s="3"/>
      <c r="M56" s="3"/>
      <c r="N56" s="3"/>
      <c r="O56" s="3"/>
      <c r="P56" s="3"/>
    </row>
    <row r="57" customFormat="false" ht="27.75" hidden="false" customHeight="true" outlineLevel="0" collapsed="false">
      <c r="A57" s="3"/>
      <c r="B57" s="70" t="s">
        <v>999</v>
      </c>
      <c r="C57" s="76" t="s">
        <v>1011</v>
      </c>
      <c r="D57" s="76"/>
      <c r="E57" s="76"/>
      <c r="F57" s="76"/>
      <c r="G57" s="76"/>
      <c r="H57" s="76"/>
      <c r="I57" s="76"/>
      <c r="J57" s="76"/>
      <c r="K57" s="3"/>
      <c r="L57" s="3"/>
      <c r="M57" s="3"/>
      <c r="N57" s="3"/>
      <c r="O57" s="3"/>
      <c r="P57" s="3"/>
    </row>
    <row r="58" customFormat="false" ht="27.75" hidden="false" customHeight="true" outlineLevel="0" collapsed="false">
      <c r="A58" s="3"/>
      <c r="B58" s="70" t="s">
        <v>999</v>
      </c>
      <c r="C58" s="76" t="s">
        <v>1012</v>
      </c>
      <c r="D58" s="76"/>
      <c r="E58" s="76"/>
      <c r="F58" s="76"/>
      <c r="G58" s="76"/>
      <c r="H58" s="76"/>
      <c r="I58" s="76"/>
      <c r="J58" s="76"/>
      <c r="K58" s="3"/>
      <c r="L58" s="3"/>
      <c r="M58" s="3"/>
      <c r="N58" s="3"/>
      <c r="O58" s="3"/>
      <c r="P58" s="3"/>
    </row>
    <row r="59" customFormat="false" ht="15.7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customFormat="false" ht="15.7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 customFormat="false" ht="15.7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customFormat="false" ht="15.7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 customFormat="false" ht="15.7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 customFormat="false" ht="15.7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</row>
    <row r="65" customFormat="false" ht="15.7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customFormat="false" ht="15.7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 customFormat="false" ht="15.7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customFormat="false" ht="15.7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</row>
    <row r="69" customFormat="false" ht="15.7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customFormat="false" ht="15.7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customFormat="false" ht="15.7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customFormat="false" ht="15.7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customFormat="false" ht="15.7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</row>
    <row r="74" customFormat="false" ht="15.7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 customFormat="false" ht="15.7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</row>
    <row r="76" customFormat="false" ht="15.7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</row>
    <row r="77" customFormat="false" ht="15.7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</row>
    <row r="78" customFormat="false" ht="15.7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customFormat="false" ht="15.7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</row>
    <row r="80" customFormat="false" ht="15.7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</row>
    <row r="81" customFormat="false" ht="15.7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customFormat="false" ht="15.7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customFormat="false" ht="15.7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</row>
    <row r="84" customFormat="false" ht="15.7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</row>
    <row r="85" customFormat="false" ht="15.7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customFormat="false" ht="15.7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</row>
    <row r="87" customFormat="false" ht="15.7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</row>
    <row r="88" customFormat="false" ht="15.7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</row>
    <row r="89" customFormat="false" ht="15.7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</row>
    <row r="90" customFormat="false" ht="15.7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customFormat="false" ht="15.7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</row>
    <row r="92" customFormat="false" ht="15.7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customFormat="false" ht="15.7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</row>
    <row r="94" customFormat="false" ht="15.7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</row>
    <row r="95" customFormat="false" ht="15.7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customFormat="false" ht="15.7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</row>
    <row r="97" customFormat="false" ht="15.7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</row>
    <row r="98" customFormat="false" ht="15.7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</row>
    <row r="99" customFormat="false" ht="15.7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</row>
    <row r="100" customFormat="false" ht="15.7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</row>
    <row r="101" customFormat="false" ht="15.7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</row>
    <row r="102" customFormat="false" ht="15.7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</row>
    <row r="103" customFormat="false" ht="15.7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</row>
    <row r="104" customFormat="false" ht="15.7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customFormat="false" ht="15.7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</row>
    <row r="106" customFormat="false" ht="15.7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</row>
    <row r="107" customFormat="false" ht="15.7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</row>
    <row r="108" customFormat="false" ht="15.7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</row>
    <row r="109" customFormat="false" ht="15.7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</row>
    <row r="110" customFormat="false" ht="15.7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</row>
    <row r="111" customFormat="false" ht="15.7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</row>
    <row r="112" customFormat="false" ht="15.7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</row>
    <row r="113" customFormat="false" ht="15.7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</row>
    <row r="114" customFormat="false" ht="15.7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</row>
    <row r="115" customFormat="false" ht="15.7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</row>
    <row r="116" customFormat="false" ht="15.7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</row>
    <row r="117" customFormat="false" ht="15.7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</row>
    <row r="118" customFormat="false" ht="15.7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</row>
    <row r="119" customFormat="false" ht="15.7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</row>
    <row r="120" customFormat="false" ht="15.7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</row>
    <row r="121" customFormat="false" ht="15.7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</row>
    <row r="122" customFormat="false" ht="15.7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</row>
    <row r="123" customFormat="false" ht="15.7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</row>
    <row r="124" customFormat="false" ht="15.7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</row>
    <row r="125" customFormat="false" ht="15.7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</row>
    <row r="126" customFormat="false" ht="15.7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</row>
    <row r="127" customFormat="false" ht="15.7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</row>
    <row r="128" customFormat="false" ht="15.7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</row>
    <row r="129" customFormat="false" ht="15.7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</row>
    <row r="130" customFormat="false" ht="15.7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</row>
    <row r="131" customFormat="false" ht="15.7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</row>
    <row r="132" customFormat="false" ht="15.7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</row>
    <row r="133" customFormat="false" ht="15.7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</row>
    <row r="134" customFormat="false" ht="15.7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</row>
    <row r="135" customFormat="false" ht="15.7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</row>
    <row r="136" customFormat="false" ht="15.7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</row>
    <row r="137" customFormat="false" ht="15.7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</row>
    <row r="138" customFormat="false" ht="15.7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</row>
    <row r="139" customFormat="false" ht="15.7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</row>
    <row r="140" customFormat="false" ht="15.7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</row>
    <row r="141" customFormat="false" ht="15.7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</row>
    <row r="142" customFormat="false" ht="15.7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</row>
    <row r="143" customFormat="false" ht="15.7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</row>
    <row r="144" customFormat="false" ht="15.7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</row>
    <row r="145" customFormat="false" ht="15.7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</row>
    <row r="146" customFormat="false" ht="15.7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</row>
    <row r="147" customFormat="false" ht="15.7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</row>
    <row r="148" customFormat="false" ht="15.7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</row>
    <row r="149" customFormat="false" ht="15.7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</row>
    <row r="150" customFormat="false" ht="15.7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</row>
    <row r="151" customFormat="false" ht="15.7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</row>
    <row r="152" customFormat="false" ht="15.7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</row>
    <row r="153" customFormat="false" ht="15.7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</row>
    <row r="154" customFormat="false" ht="15.7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</row>
    <row r="155" customFormat="false" ht="15.7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</row>
    <row r="156" customFormat="false" ht="15.7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</row>
    <row r="157" customFormat="false" ht="15.7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</row>
    <row r="158" customFormat="false" ht="15.7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</row>
    <row r="159" customFormat="false" ht="15.7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</row>
    <row r="160" customFormat="false" ht="15.7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</row>
    <row r="161" customFormat="false" ht="15.7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</row>
    <row r="162" customFormat="false" ht="15.7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</row>
    <row r="163" customFormat="false" ht="15.7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</row>
    <row r="164" customFormat="false" ht="15.7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</row>
    <row r="165" customFormat="false" ht="15.7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</row>
    <row r="166" customFormat="false" ht="15.7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</row>
    <row r="167" customFormat="false" ht="15.7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</row>
    <row r="168" customFormat="false" ht="15.7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</row>
    <row r="169" customFormat="false" ht="15.7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</row>
    <row r="170" customFormat="false" ht="15.7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</row>
    <row r="171" customFormat="false" ht="15.7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</row>
    <row r="172" customFormat="false" ht="15.7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</row>
    <row r="173" customFormat="false" ht="15.7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</row>
    <row r="174" customFormat="false" ht="15.7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</row>
    <row r="175" customFormat="false" ht="15.7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</row>
    <row r="176" customFormat="false" ht="15.7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</row>
    <row r="177" customFormat="false" ht="15.7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</row>
    <row r="178" customFormat="false" ht="15.7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</row>
    <row r="179" customFormat="false" ht="15.7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</row>
    <row r="180" customFormat="false" ht="15.7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</row>
    <row r="181" customFormat="false" ht="15.7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</row>
    <row r="182" customFormat="false" ht="15.7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</row>
    <row r="183" customFormat="false" ht="15.7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</row>
    <row r="184" customFormat="false" ht="15.7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</row>
    <row r="185" customFormat="false" ht="15.7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</row>
    <row r="186" customFormat="false" ht="15.7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</row>
    <row r="187" customFormat="false" ht="15.7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</row>
    <row r="188" customFormat="false" ht="15.7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</row>
    <row r="189" customFormat="false" ht="15.7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</row>
    <row r="190" customFormat="false" ht="15.7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</row>
    <row r="191" customFormat="false" ht="15.7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</row>
    <row r="192" customFormat="false" ht="15.7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</row>
    <row r="193" customFormat="false" ht="15.7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</row>
    <row r="194" customFormat="false" ht="15.7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</row>
    <row r="195" customFormat="false" ht="15.7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</row>
    <row r="196" customFormat="false" ht="15.7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</row>
    <row r="197" customFormat="false" ht="15.7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</row>
    <row r="198" customFormat="false" ht="15.7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</row>
    <row r="199" customFormat="false" ht="15.7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</row>
    <row r="200" customFormat="false" ht="15.7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</row>
    <row r="201" customFormat="false" ht="15.7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</row>
    <row r="202" customFormat="false" ht="15.7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</row>
    <row r="203" customFormat="false" ht="15.7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</row>
    <row r="204" customFormat="false" ht="15.7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</row>
    <row r="205" customFormat="false" ht="15.7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</row>
    <row r="206" customFormat="false" ht="15.7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</row>
    <row r="207" customFormat="false" ht="15.7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</row>
    <row r="208" customFormat="false" ht="15.7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</row>
    <row r="209" customFormat="false" ht="15.7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</row>
    <row r="210" customFormat="false" ht="15.7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</row>
    <row r="211" customFormat="false" ht="15.7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</row>
    <row r="212" customFormat="false" ht="15.7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</row>
    <row r="213" customFormat="false" ht="15.7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</row>
    <row r="214" customFormat="false" ht="15.7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</row>
    <row r="215" customFormat="false" ht="15.7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</row>
    <row r="216" customFormat="false" ht="15.7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</row>
    <row r="217" customFormat="false" ht="15.7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</row>
    <row r="218" customFormat="false" ht="15.7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</row>
    <row r="219" customFormat="false" ht="15.7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</row>
    <row r="220" customFormat="false" ht="15.7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</row>
    <row r="221" customFormat="false" ht="15.7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</row>
    <row r="222" customFormat="false" ht="15.7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</row>
    <row r="223" customFormat="false" ht="15.7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</row>
    <row r="224" customFormat="false" ht="15.7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</row>
    <row r="225" customFormat="false" ht="15.7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</row>
    <row r="226" customFormat="false" ht="15.7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</row>
    <row r="227" customFormat="false" ht="15.7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</row>
    <row r="228" customFormat="false" ht="15.7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</row>
    <row r="229" customFormat="false" ht="15.7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</row>
    <row r="230" customFormat="false" ht="15.7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</row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5">
    <mergeCell ref="A1:J2"/>
    <mergeCell ref="A3:J3"/>
    <mergeCell ref="B5:J5"/>
    <mergeCell ref="B13:J13"/>
    <mergeCell ref="B20:J20"/>
    <mergeCell ref="B38:J38"/>
    <mergeCell ref="C39:J39"/>
    <mergeCell ref="C40:J40"/>
    <mergeCell ref="C41:J41"/>
    <mergeCell ref="C42:J42"/>
    <mergeCell ref="C43:J43"/>
    <mergeCell ref="B45:J45"/>
    <mergeCell ref="C46:J46"/>
    <mergeCell ref="C47:J47"/>
    <mergeCell ref="C48:J48"/>
    <mergeCell ref="C49:J49"/>
    <mergeCell ref="C50:J50"/>
    <mergeCell ref="C51:J51"/>
    <mergeCell ref="C52:J52"/>
    <mergeCell ref="C53:J53"/>
    <mergeCell ref="C54:J54"/>
    <mergeCell ref="C55:J55"/>
    <mergeCell ref="C56:J56"/>
    <mergeCell ref="C57:J57"/>
    <mergeCell ref="C58:J5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2026-07-23T11:02:03Z</dcterms:created>
  <dc:creator>openpyxl</dc:creator>
  <dc:description/>
  <dc:language>en-US</dc:language>
  <cp:lastModifiedBy/>
  <dcterms:modified xsi:type="dcterms:W3CDTF">2026-07-23T11:15:05Z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